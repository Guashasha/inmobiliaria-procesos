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7.xml.rels" ContentType="application/vnd.openxmlformats-package.relationships+xml"/>
  <Override PartName="/xl/worksheets/_rels/sheet2.xml.rels" ContentType="application/vnd.openxmlformats-package.relationships+xml"/>
  <Override PartName="/xl/worksheets/sheet8.xml" ContentType="application/vnd.openxmlformats-officedocument.spreadsheetml.worksheet+xml"/>
  <Override PartName="/xl/externalLinks/_rels/externalLink1.xml.rels" ContentType="application/vnd.openxmlformats-package.relationships+xml"/>
  <Override PartName="/xl/externalLinks/externalLink1.xml" ContentType="application/vnd.openxmlformats-officedocument.spreadsheetml.externalLink+xml"/>
  <Override PartName="/xl/sharedStrings.xml" ContentType="application/vnd.openxmlformats-officedocument.spreadsheetml.sharedStrings+xml"/>
  <Override PartName="/xl/ctrlProps/ctrlProps2.xml" ContentType="application/vnd.ms-excel.controlproperties+xml"/>
  <Override PartName="/xl/drawings/drawing1.xml" ContentType="application/vnd.openxmlformats-officedocument.drawing+xml"/>
  <Override PartName="/xl/drawings/vmlDrawing1.vml" ContentType="application/vnd.openxmlformats-officedocument.vmlDrawing"/>
  <Override PartName="/xl/drawings/_rels/drawing3.xml.rels" ContentType="application/vnd.openxmlformats-package.relationships+xml"/>
  <Override PartName="/xl/drawings/drawing3.xml" ContentType="application/vnd.openxmlformats-officedocument.drawing+xml"/>
  <Override PartName="/xl/_rels/workbook.xml.rels" ContentType="application/vnd.openxmlformats-package.relationships+xml"/>
  <Override PartName="/xl/media/image1.png" ContentType="image/png"/>
  <Override PartName="/xl/media/image2.png" ContentType="image/png"/>
  <Override PartName="/xl/media/image3.png" ContentType="image/png"/>
  <Override PartName="/xl/media/image4.png" ContentType="image/png"/>
  <Override PartName="/xl/media/image5.png" ContentType="image/p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
  </bookViews>
  <sheets>
    <sheet name="Instrucciones" sheetId="1" state="visible" r:id="rId4"/>
    <sheet name="Summary" sheetId="2" state="visible" r:id="rId5"/>
    <sheet name="Plan semanal" sheetId="3" state="hidden" r:id="rId6"/>
    <sheet name="TimeLog" sheetId="4" state="visible" r:id="rId7"/>
    <sheet name="SCMENUS" sheetId="5" state="hidden" r:id="rId8"/>
    <sheet name="DefectLog" sheetId="6" state="visible" r:id="rId9"/>
    <sheet name="Taxonomy" sheetId="7" state="hidden" r:id="rId10"/>
    <sheet name="Gráficas" sheetId="8" state="visible" r:id="rId11"/>
  </sheets>
  <externalReferences>
    <externalReference r:id="rId12"/>
  </externalReferences>
  <definedNames>
    <definedName function="false" hidden="false" localSheetId="1" name="_xlnm.Print_Area" vbProcedure="false">Summary!$B$1:$N$82</definedName>
    <definedName function="false" hidden="false" name="DefectTypesDatabaseRange" vbProcedure="false">[1]DefectTypes!$A$1:$B$12</definedName>
    <definedName function="false" hidden="false" name="EstResults" vbProcedure="false">#REF!</definedName>
    <definedName function="false" hidden="false" name="GoalsDatabaseRange" vbProcedure="false">[1]Goals!$A$2:$F$2</definedName>
    <definedName function="false" hidden="false" name="HistoricalData" vbProcedure="false">#REF!</definedName>
    <definedName function="false" hidden="false" name="IRTLDatabaseRange" vbProcedure="false">[1]IRTL!$A$6:$K$6</definedName>
    <definedName function="false" hidden="false" name="Jim_Over" vbProcedure="false">#REF!</definedName>
    <definedName function="false" hidden="false" name="LOGDDatabaseRange" vbProcedure="false">[1]LOGD!$A$6:$L$10</definedName>
    <definedName function="false" hidden="false" name="LOGTDatabaseRange" vbProcedure="false">[1]LOGT!$A$6:$I$39</definedName>
    <definedName function="false" hidden="false" name="ObjectTypes" vbProcedure="false">SCMENUS!$AA$2:$AA$7</definedName>
    <definedName function="false" hidden="false" name="PhasesDatabaseRange" vbProcedure="false">[1]Phases!$A$1:$E$25</definedName>
    <definedName function="false" hidden="false" name="ppsCurProject" vbProcedure="false">#REF!</definedName>
    <definedName function="false" hidden="false" name="ppsReqProject" vbProcedure="false">#REF!</definedName>
    <definedName function="false" hidden="false" name="ProjDBInjected" vbProcedure="false">#REF!</definedName>
    <definedName function="false" hidden="false" name="ProjDBRemoved" vbProcedure="false">#REF!</definedName>
    <definedName function="false" hidden="false" name="ProjDBTime" vbProcedure="false">#REF!</definedName>
    <definedName function="false" hidden="false" name="RDActMin" vbProcedure="false">#REF!</definedName>
    <definedName function="false" hidden="false" name="RDActN" vbProcedure="false">#REF!</definedName>
    <definedName function="false" hidden="false" name="RDEstE" vbProcedure="false">#REF!</definedName>
    <definedName function="false" hidden="false" name="RDEstN" vbProcedure="false">#REF!</definedName>
    <definedName function="false" hidden="false" name="regressionData" vbProcedure="false">#REF!</definedName>
    <definedName function="false" hidden="false" name="RelativeSizes" vbProcedure="false">SCMENUS!$AC$2:$AC$6</definedName>
    <definedName function="false" hidden="false" name="ScheduleDatabaseRange" vbProcedure="false">[1]Schedule!$A$7:$AM$36</definedName>
    <definedName function="false" hidden="false" name="SUMSDatabaseRange" vbProcedure="false">[1]SUMS!$A$7:$EP$131</definedName>
    <definedName function="false" hidden="false" name="TaskDatabaseRange" vbProcedure="false">[1]Task!$A$7:$AF$111</definedName>
    <definedName function="false" hidden="false" name="TeamDatabaseRange" vbProcedure="false">[1]Team!$A$1:$I$13</definedName>
    <definedName function="false" hidden="false" localSheetId="1" name="DefectTypesDatabaseRange" vbProcedure="false">[1]DefectTypes!$A$1:$B$12</definedName>
    <definedName function="false" hidden="false" localSheetId="1" name="EstResults" vbProcedure="false">#REF!</definedName>
    <definedName function="false" hidden="false" localSheetId="1" name="GoalsDatabaseRange" vbProcedure="false">[1]Goals!$A$2:$F$2</definedName>
    <definedName function="false" hidden="false" localSheetId="1" name="HistoricalData" vbProcedure="false">#REF!</definedName>
    <definedName function="false" hidden="false" localSheetId="1" name="IRTLDatabaseRange" vbProcedure="false">[1]IRTL!$A$6:$K$6</definedName>
    <definedName function="false" hidden="false" localSheetId="1" name="Jim_Over" vbProcedure="false">#REF!</definedName>
    <definedName function="false" hidden="false" localSheetId="1" name="LOGDDatabaseRange" vbProcedure="false">[1]LOGD!$A$6:$L$10</definedName>
    <definedName function="false" hidden="false" localSheetId="1" name="LOGTDatabaseRange" vbProcedure="false">[1]LOGT!$A$6:$I$39</definedName>
    <definedName function="false" hidden="false" localSheetId="1" name="PhasesDatabaseRange" vbProcedure="false">[1]Phases!$A$1:$E$25</definedName>
    <definedName function="false" hidden="false" localSheetId="1" name="ppsCurProject" vbProcedure="false">#REF!</definedName>
    <definedName function="false" hidden="false" localSheetId="1" name="ppsReqProject" vbProcedure="false">#REF!</definedName>
    <definedName function="false" hidden="false" localSheetId="1" name="RDActMin" vbProcedure="false">#REF!</definedName>
    <definedName function="false" hidden="false" localSheetId="1" name="RDActN" vbProcedure="false">#REF!</definedName>
    <definedName function="false" hidden="false" localSheetId="1" name="RDEstE" vbProcedure="false">#REF!</definedName>
    <definedName function="false" hidden="false" localSheetId="1" name="RDEstN" vbProcedure="false">#REF!</definedName>
    <definedName function="false" hidden="false" localSheetId="1" name="regressionData" vbProcedure="false">#REF!</definedName>
    <definedName function="false" hidden="false" localSheetId="1" name="ScheduleDatabaseRange" vbProcedure="false">[1]Schedule!$A$7:$AM$36</definedName>
    <definedName function="false" hidden="false" localSheetId="1" name="SUMSDatabaseRange" vbProcedure="false">[1]SUMS!$A$7:$EP$131</definedName>
    <definedName function="false" hidden="false" localSheetId="1" name="TaskDatabaseRange" vbProcedure="false">[1]Task!$A$7:$AF$111</definedName>
    <definedName function="false" hidden="false" localSheetId="1" name="TeamDatabaseRange" vbProcedure="false">[1]Team!$A$1:$I$13</definedName>
    <definedName function="false" hidden="false" localSheetId="5" name="Database" vbProcedure="false">DefectLog!$A$1:$I$1</definedName>
    <definedName function="false" hidden="false" localSheetId="5" name="EstResults" vbProcedure="false">#REF!</definedName>
    <definedName function="false" hidden="false" localSheetId="5" name="HistoricalData" vbProcedure="false">#REF!</definedName>
    <definedName function="false" hidden="false" localSheetId="5" name="Jim_Over" vbProcedure="false">#REF!</definedName>
    <definedName function="false" hidden="false" localSheetId="5" name="ppsCurProject" vbProcedure="false">#REF!</definedName>
    <definedName function="false" hidden="false" localSheetId="5" name="ppsReqProject" vbProcedure="false">#REF!</definedName>
    <definedName function="false" hidden="false" localSheetId="5" name="RDActMin" vbProcedure="false">#REF!</definedName>
    <definedName function="false" hidden="false" localSheetId="5" name="RDActN" vbProcedure="false">#REF!</definedName>
    <definedName function="false" hidden="false" localSheetId="5" name="RDEstE" vbProcedure="false">#REF!</definedName>
    <definedName function="false" hidden="false" localSheetId="5" name="RDEstN" vbProcedure="false">#REF!</definedName>
    <definedName function="false" hidden="false" localSheetId="5" name="regressionData" vbProcedure="false">#REF!</definedName>
    <definedName function="false" hidden="false" localSheetId="5" name="_xlnm.Database" vbProcedure="false">DefectLog!$A$1:$I$1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<sst xmlns="http://schemas.openxmlformats.org/spreadsheetml/2006/main" count="276" uniqueCount="182">
  <si>
    <t xml:space="preserve">INSTRUCCIONES DE LLENADO DEL LIBRO DE TRABAJO</t>
  </si>
  <si>
    <t xml:space="preserve">El libro de trabajo automatiza el llenado del registro de tiempos. Incluye algunas fórmulas para el registro de horas y cálculo de tiempos. Los cálculos mensuales y finales, además de las gráficas, deberán realizarse manualmente. </t>
  </si>
  <si>
    <t xml:space="preserve">El libro de trabajo incluye:</t>
  </si>
  <si>
    <r>
      <rPr>
        <b val="true"/>
        <sz val="10"/>
        <rFont val="Arial"/>
        <family val="2"/>
        <charset val="1"/>
      </rPr>
      <t xml:space="preserve">Summary</t>
    </r>
    <r>
      <rPr>
        <sz val="10"/>
        <rFont val="Arial"/>
        <family val="2"/>
        <charset val="1"/>
      </rPr>
      <t xml:space="preserve"> - hoja de trabajo en donde deberán planear el tiempo estimado para realizar el proyecto. Registrarán además sus conteos mensuales por fase.</t>
    </r>
  </si>
  <si>
    <r>
      <rPr>
        <b val="true"/>
        <sz val="10"/>
        <color theme="4" tint="-0.25"/>
        <rFont val="Arial"/>
        <family val="2"/>
        <charset val="1"/>
      </rPr>
      <t xml:space="preserve">TimeLog</t>
    </r>
    <r>
      <rPr>
        <sz val="10"/>
        <color theme="4" tint="-0.25"/>
        <rFont val="Arial"/>
        <family val="2"/>
        <charset val="1"/>
      </rPr>
      <t xml:space="preserve"> - una hoja de trabajo para registrar los datos de tiempo.</t>
    </r>
  </si>
  <si>
    <r>
      <rPr>
        <b val="true"/>
        <sz val="10"/>
        <color theme="4" tint="-0.25"/>
        <rFont val="Arial"/>
        <family val="2"/>
        <charset val="1"/>
      </rPr>
      <t xml:space="preserve">DefectLog </t>
    </r>
    <r>
      <rPr>
        <sz val="10"/>
        <color theme="4" tint="-0.25"/>
        <rFont val="Arial"/>
        <family val="2"/>
        <charset val="1"/>
      </rPr>
      <t xml:space="preserve">-</t>
    </r>
    <r>
      <rPr>
        <b val="true"/>
        <sz val="10"/>
        <color theme="4" tint="-0.25"/>
        <rFont val="Arial"/>
        <family val="2"/>
        <charset val="1"/>
      </rPr>
      <t xml:space="preserve"> </t>
    </r>
    <r>
      <rPr>
        <sz val="10"/>
        <color theme="4" tint="-0.25"/>
        <rFont val="Arial"/>
        <family val="2"/>
        <charset val="1"/>
      </rPr>
      <t xml:space="preserve">una hoja de trabajo para registrar defectos encontrados.</t>
    </r>
  </si>
  <si>
    <t xml:space="preserve">Instrucciones Generales</t>
  </si>
  <si>
    <r>
      <rPr>
        <b val="true"/>
        <sz val="10"/>
        <rFont val="Arial"/>
        <family val="2"/>
        <charset val="1"/>
      </rPr>
      <t xml:space="preserve">1.  Planear. </t>
    </r>
    <r>
      <rPr>
        <sz val="10"/>
        <rFont val="Arial"/>
        <family val="2"/>
        <charset val="1"/>
      </rPr>
      <t xml:space="preserve">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</si>
  <si>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 xml:space="preserve">SÓLO PARA LA EE PROCESOS DE SOFTWARE</t>
  </si>
  <si>
    <r>
      <rPr>
        <b val="true"/>
        <sz val="10"/>
        <rFont val="Arial"/>
        <family val="2"/>
        <charset val="1"/>
      </rPr>
      <t xml:space="preserve">2.</t>
    </r>
    <r>
      <rPr>
        <sz val="10"/>
        <rFont val="Arial"/>
        <family val="2"/>
        <charset val="1"/>
      </rPr>
      <t xml:space="preserve">  </t>
    </r>
    <r>
      <rPr>
        <b val="true"/>
        <sz val="10"/>
        <rFont val="Arial"/>
        <family val="2"/>
        <charset val="1"/>
      </rPr>
      <t xml:space="preserve">Registro.</t>
    </r>
    <r>
      <rPr>
        <sz val="10"/>
        <rFont val="Arial"/>
        <family val="2"/>
        <charset val="1"/>
      </rPr>
      <t xml:space="preserve"> Durante el desarrollo del proyecto, utilice la hoja </t>
    </r>
    <r>
      <rPr>
        <i val="true"/>
        <sz val="10"/>
        <rFont val="Arial"/>
        <family val="2"/>
        <charset val="1"/>
      </rPr>
      <t xml:space="preserve">TimeLog</t>
    </r>
    <r>
      <rPr>
        <sz val="10"/>
        <rFont val="Arial"/>
        <family val="2"/>
        <charset val="1"/>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val="true"/>
        <sz val="10"/>
        <rFont val="Arial"/>
        <family val="2"/>
        <charset val="1"/>
      </rPr>
      <t xml:space="preserve">No deje pasar un día para registrar las actividades correspondientes, añada comentarios para clarificar las actividades realizadas. </t>
    </r>
  </si>
  <si>
    <r>
      <rPr>
        <b val="true"/>
        <sz val="10"/>
        <color theme="4" tint="-0.25"/>
        <rFont val="Arial"/>
        <family val="2"/>
        <charset val="1"/>
      </rPr>
      <t xml:space="preserve">Sugerencia</t>
    </r>
    <r>
      <rPr>
        <sz val="10"/>
        <color theme="4" tint="-0.25"/>
        <rFont val="Arial"/>
        <family val="2"/>
        <charset val="1"/>
      </rPr>
      <t xml:space="preserve">: en lugar de capturar tiempo de interrupción, realice un nuevo registro.</t>
    </r>
  </si>
  <si>
    <r>
      <rPr>
        <b val="true"/>
        <sz val="10"/>
        <rFont val="Arial"/>
        <family val="2"/>
        <charset val="1"/>
      </rPr>
      <t xml:space="preserve">3.  Evaluación. </t>
    </r>
    <r>
      <rPr>
        <sz val="10"/>
        <rFont val="Arial"/>
        <family val="2"/>
        <charset val="1"/>
      </rPr>
      <t xml:space="preserve">Al finalizar cada mes, deberá calcular la sumatoria de tiempos por fase, capture cada cálculo en la hoja </t>
    </r>
    <r>
      <rPr>
        <i val="true"/>
        <sz val="10"/>
        <rFont val="Arial"/>
        <family val="2"/>
        <charset val="1"/>
      </rPr>
      <t xml:space="preserve">Summary</t>
    </r>
    <r>
      <rPr>
        <sz val="10"/>
        <rFont val="Arial"/>
        <family val="2"/>
        <charset val="1"/>
      </rPr>
      <t xml:space="preserve">.</t>
    </r>
  </si>
  <si>
    <t xml:space="preserve">Realice al final de cada mes una gráfica de barras y una gráfica de pastel por fase. Realice y actualice cada mes, una gráfica de doble barra que compare lo planeado con el tiempo total acumulado.</t>
  </si>
  <si>
    <r>
      <rPr>
        <b val="true"/>
        <sz val="10"/>
        <rFont val="Arial"/>
        <family val="2"/>
        <charset val="1"/>
      </rPr>
      <t xml:space="preserve">4. Registre los defectos encontrados </t>
    </r>
    <r>
      <rPr>
        <sz val="10"/>
        <rFont val="Arial"/>
        <family val="2"/>
        <charset val="1"/>
      </rPr>
      <t xml:space="preserve">en la hoja </t>
    </r>
    <r>
      <rPr>
        <i val="true"/>
        <sz val="10"/>
        <rFont val="Arial"/>
        <family val="2"/>
        <charset val="1"/>
      </rPr>
      <t xml:space="preserve">DefectLog</t>
    </r>
  </si>
  <si>
    <r>
      <rPr>
        <sz val="10"/>
        <rFont val="Arial"/>
        <family val="2"/>
        <charset val="1"/>
      </rPr>
      <t xml:space="preserve">Seleccione el proyecto, el tipo de defecto (</t>
    </r>
    <r>
      <rPr>
        <i val="true"/>
        <sz val="10"/>
        <rFont val="Arial"/>
        <family val="2"/>
        <charset val="1"/>
      </rPr>
      <t xml:space="preserve">Type</t>
    </r>
    <r>
      <rPr>
        <sz val="10"/>
        <rFont val="Arial"/>
        <family val="2"/>
        <charset val="1"/>
      </rPr>
      <t xml:space="preserve">) y las fases (</t>
    </r>
    <r>
      <rPr>
        <i val="true"/>
        <sz val="10"/>
        <rFont val="Arial"/>
        <family val="2"/>
        <charset val="1"/>
      </rPr>
      <t xml:space="preserve">Injected, Removed</t>
    </r>
    <r>
      <rPr>
        <sz val="10"/>
        <rFont val="Arial"/>
        <family val="2"/>
        <charset val="1"/>
      </rPr>
      <t xml:space="preserve">)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</si>
  <si>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 xml:space="preserve">Notas:</t>
  </si>
  <si>
    <t xml:space="preserve">A. Sólo introduzca datos en las celdas sombreadas.</t>
  </si>
  <si>
    <r>
      <rPr>
        <sz val="10"/>
        <rFont val="Arial"/>
        <family val="2"/>
        <charset val="1"/>
      </rPr>
      <t xml:space="preserve">B. La hoja de trabajo </t>
    </r>
    <r>
      <rPr>
        <i val="true"/>
        <sz val="10"/>
        <rFont val="Arial"/>
        <family val="2"/>
        <charset val="1"/>
      </rPr>
      <t xml:space="preserve">TimeLog </t>
    </r>
    <r>
      <rPr>
        <sz val="10"/>
        <rFont val="Arial"/>
        <family val="2"/>
        <charset val="1"/>
      </rPr>
      <t xml:space="preserve">incluye validaciones para las celdas </t>
    </r>
    <r>
      <rPr>
        <i val="true"/>
        <sz val="10"/>
        <rFont val="Arial"/>
        <family val="2"/>
        <charset val="1"/>
      </rPr>
      <t xml:space="preserve">Project y Phase</t>
    </r>
    <r>
      <rPr>
        <sz val="10"/>
        <rFont val="Arial"/>
        <family val="2"/>
        <charset val="1"/>
      </rPr>
      <t xml:space="preserve">. No podrá seleccionar o capturar un proyecto o fase distinto a los provistos:</t>
    </r>
  </si>
  <si>
    <t xml:space="preserve">PLAN: planeación.</t>
  </si>
  <si>
    <t xml:space="preserve">REQ: requerimientos y análisis.</t>
  </si>
  <si>
    <t xml:space="preserve">DIS: diseño preliminar y diseño.</t>
  </si>
  <si>
    <t xml:space="preserve">COD: codificación y compilación.</t>
  </si>
  <si>
    <t xml:space="preserve">PRU: pruebas.</t>
  </si>
  <si>
    <t xml:space="preserve">POSTM: postmortem.</t>
  </si>
  <si>
    <t xml:space="preserve">DOC: elaboración de documentación.</t>
  </si>
  <si>
    <t xml:space="preserve">EXPL: exploración del lenguaje y tecnología.</t>
  </si>
  <si>
    <t xml:space="preserve">OTROS: cualquier otra cosa no prevista.</t>
  </si>
  <si>
    <r>
      <rPr>
        <sz val="10"/>
        <rFont val="Arial"/>
        <family val="2"/>
        <charset val="1"/>
      </rPr>
      <t xml:space="preserve">C. La hoja de trabajo </t>
    </r>
    <r>
      <rPr>
        <i val="true"/>
        <sz val="10"/>
        <rFont val="Arial"/>
        <family val="2"/>
        <charset val="1"/>
      </rPr>
      <t xml:space="preserve">TimeLog </t>
    </r>
    <r>
      <rPr>
        <sz val="10"/>
        <rFont val="Arial"/>
        <family val="2"/>
        <charset val="1"/>
      </rPr>
      <t xml:space="preserve">incluye validaciones para la celda </t>
    </r>
    <r>
      <rPr>
        <i val="true"/>
        <sz val="10"/>
        <rFont val="Arial"/>
        <family val="2"/>
        <charset val="1"/>
      </rPr>
      <t xml:space="preserve">Type</t>
    </r>
    <r>
      <rPr>
        <sz val="10"/>
        <rFont val="Arial"/>
        <family val="2"/>
        <charset val="1"/>
      </rPr>
      <t xml:space="preserve">. No podrá seleccionar o capturar un tipo de defecto distinto a los provistos: apóyese en la clasificación provista en la pestaña </t>
    </r>
    <r>
      <rPr>
        <i val="true"/>
        <sz val="10"/>
        <rFont val="Arial"/>
        <family val="2"/>
        <charset val="1"/>
      </rPr>
      <t xml:space="preserve">Taxonomy</t>
    </r>
  </si>
  <si>
    <t xml:space="preserve">D.  Utilice un libro nuevo por cada proyecto.</t>
  </si>
  <si>
    <t xml:space="preserve">PSP0 Project Plan Summary - Program 1A</t>
  </si>
  <si>
    <t xml:space="preserve">Student</t>
  </si>
  <si>
    <t xml:space="preserve">David Carrion Romero</t>
  </si>
  <si>
    <t xml:space="preserve">Date</t>
  </si>
  <si>
    <t xml:space="preserve">Project</t>
  </si>
  <si>
    <t xml:space="preserve">Inmobiliaria</t>
  </si>
  <si>
    <t xml:space="preserve">Program#</t>
  </si>
  <si>
    <t xml:space="preserve">Instructor</t>
  </si>
  <si>
    <t xml:space="preserve">Maria de los Angeles Navarro</t>
  </si>
  <si>
    <t xml:space="preserve">Language</t>
  </si>
  <si>
    <t xml:space="preserve">Java</t>
  </si>
  <si>
    <t xml:space="preserve">Plan</t>
  </si>
  <si>
    <t xml:space="preserve">Marzo</t>
  </si>
  <si>
    <t xml:space="preserve">Abril</t>
  </si>
  <si>
    <t xml:space="preserve">Mayo</t>
  </si>
  <si>
    <t xml:space="preserve">Subtotal</t>
  </si>
  <si>
    <t xml:space="preserve">Time in Phase (min.)</t>
  </si>
  <si>
    <t xml:space="preserve">*</t>
  </si>
  <si>
    <t xml:space="preserve">PLAN</t>
  </si>
  <si>
    <t xml:space="preserve">REQ</t>
  </si>
  <si>
    <t xml:space="preserve">DIS</t>
  </si>
  <si>
    <t xml:space="preserve">COD</t>
  </si>
  <si>
    <t xml:space="preserve">PRU</t>
  </si>
  <si>
    <t xml:space="preserve">POSTM</t>
  </si>
  <si>
    <t xml:space="preserve">DOC</t>
  </si>
  <si>
    <t xml:space="preserve">EXPL</t>
  </si>
  <si>
    <t xml:space="preserve">OTROS</t>
  </si>
  <si>
    <t xml:space="preserve">    Total</t>
  </si>
  <si>
    <t xml:space="preserve">*Estimación basada en su conocimiento previo</t>
  </si>
  <si>
    <t xml:space="preserve">Plan semanal</t>
  </si>
  <si>
    <t xml:space="preserve">Estudiante</t>
  </si>
  <si>
    <t xml:space="preserve">Fecha:</t>
  </si>
  <si>
    <t xml:space="preserve">Actividad</t>
  </si>
  <si>
    <t xml:space="preserve">Estimación en minutos</t>
  </si>
  <si>
    <t xml:space="preserve">1. Dormir</t>
  </si>
  <si>
    <t xml:space="preserve">2. Bañarse</t>
  </si>
  <si>
    <t xml:space="preserve">3. Desayunar</t>
  </si>
  <si>
    <t xml:space="preserve">4. Desayuno, comida y cena</t>
  </si>
  <si>
    <t xml:space="preserve">5. Clases</t>
  </si>
  <si>
    <t xml:space="preserve">6. Tareas</t>
  </si>
  <si>
    <t xml:space="preserve">7. Estudiar</t>
  </si>
  <si>
    <t xml:space="preserve">8. Actividades recreativas (Ver TV, jugar video juegos, salir con la novia, ir al cine, etc.)</t>
  </si>
  <si>
    <t xml:space="preserve">9. Hacer Ejercicio</t>
  </si>
  <si>
    <t xml:space="preserve">Total</t>
  </si>
  <si>
    <t xml:space="preserve">Resumen de la semna del: </t>
  </si>
  <si>
    <t xml:space="preserve">Actividades</t>
  </si>
  <si>
    <t xml:space="preserve">Jueves</t>
  </si>
  <si>
    <t xml:space="preserve">Viernes</t>
  </si>
  <si>
    <t xml:space="preserve">Sábado</t>
  </si>
  <si>
    <t xml:space="preserve">Domingo</t>
  </si>
  <si>
    <t xml:space="preserve">Lunes</t>
  </si>
  <si>
    <t xml:space="preserve">Mártes</t>
  </si>
  <si>
    <t xml:space="preserve">Miércoles</t>
  </si>
  <si>
    <t xml:space="preserve">Unidad de tiempo:minutos</t>
  </si>
  <si>
    <t xml:space="preserve">Phase</t>
  </si>
  <si>
    <t xml:space="preserve">Start</t>
  </si>
  <si>
    <t xml:space="preserve">Interruption</t>
  </si>
  <si>
    <t xml:space="preserve">Stop</t>
  </si>
  <si>
    <t xml:space="preserve">Delta</t>
  </si>
  <si>
    <t xml:space="preserve">Comments</t>
  </si>
  <si>
    <t xml:space="preserve">Planeacion de actividades</t>
  </si>
  <si>
    <t xml:space="preserve">Analisis preliminar de requisitos</t>
  </si>
  <si>
    <t xml:space="preserve">Analisis de requisitos y lista de casos de uso</t>
  </si>
  <si>
    <t xml:space="preserve">Modelo de dominio</t>
  </si>
  <si>
    <t xml:space="preserve">Descripcion de CU-01</t>
  </si>
  <si>
    <t xml:space="preserve">Assignment</t>
  </si>
  <si>
    <t xml:space="preserve">Process</t>
  </si>
  <si>
    <t xml:space="preserve">Processes</t>
  </si>
  <si>
    <t xml:space="preserve">Phases</t>
  </si>
  <si>
    <t xml:space="preserve">PSP0</t>
  </si>
  <si>
    <t xml:space="preserve">PSP0.1</t>
  </si>
  <si>
    <t xml:space="preserve">PSP1</t>
  </si>
  <si>
    <t xml:space="preserve">PSP1.1</t>
  </si>
  <si>
    <t xml:space="preserve">PSP2</t>
  </si>
  <si>
    <t xml:space="preserve">PSP2.1</t>
  </si>
  <si>
    <t xml:space="preserve">Type</t>
  </si>
  <si>
    <t xml:space="preserve">Description</t>
  </si>
  <si>
    <t xml:space="preserve">Object Type</t>
  </si>
  <si>
    <t xml:space="preserve">Relative Size</t>
  </si>
  <si>
    <t xml:space="preserve">Method</t>
  </si>
  <si>
    <t xml:space="preserve">1A</t>
  </si>
  <si>
    <t xml:space="preserve">Documentation</t>
  </si>
  <si>
    <t xml:space="preserve">C</t>
  </si>
  <si>
    <t xml:space="preserve">Calculation</t>
  </si>
  <si>
    <t xml:space="preserve">VS</t>
  </si>
  <si>
    <t xml:space="preserve">A</t>
  </si>
  <si>
    <t xml:space="preserve">2A</t>
  </si>
  <si>
    <t xml:space="preserve">DLD</t>
  </si>
  <si>
    <t xml:space="preserve">Syntax</t>
  </si>
  <si>
    <t xml:space="preserve">D</t>
  </si>
  <si>
    <t xml:space="preserve">Data</t>
  </si>
  <si>
    <t xml:space="preserve">S</t>
  </si>
  <si>
    <t xml:space="preserve">B</t>
  </si>
  <si>
    <t xml:space="preserve">3A</t>
  </si>
  <si>
    <t xml:space="preserve">CODE</t>
  </si>
  <si>
    <t xml:space="preserve">DLDR</t>
  </si>
  <si>
    <t xml:space="preserve">Build, Package</t>
  </si>
  <si>
    <t xml:space="preserve">IO</t>
  </si>
  <si>
    <t xml:space="preserve">Input/Output</t>
  </si>
  <si>
    <t xml:space="preserve">M</t>
  </si>
  <si>
    <t xml:space="preserve">4A</t>
  </si>
  <si>
    <t xml:space="preserve">COMPILE</t>
  </si>
  <si>
    <t xml:space="preserve">L</t>
  </si>
  <si>
    <t xml:space="preserve">Logic</t>
  </si>
  <si>
    <t xml:space="preserve">5A</t>
  </si>
  <si>
    <t xml:space="preserve">TEST</t>
  </si>
  <si>
    <t xml:space="preserve">CR</t>
  </si>
  <si>
    <t xml:space="preserve">Interface</t>
  </si>
  <si>
    <t xml:space="preserve">Set-up</t>
  </si>
  <si>
    <t xml:space="preserve">VL</t>
  </si>
  <si>
    <t xml:space="preserve">6A</t>
  </si>
  <si>
    <t xml:space="preserve">PM</t>
  </si>
  <si>
    <t xml:space="preserve">Checking</t>
  </si>
  <si>
    <t xml:space="preserve">T</t>
  </si>
  <si>
    <t xml:space="preserve">Text</t>
  </si>
  <si>
    <t xml:space="preserve">7A</t>
  </si>
  <si>
    <t xml:space="preserve">8A</t>
  </si>
  <si>
    <t xml:space="preserve">Function</t>
  </si>
  <si>
    <t xml:space="preserve">System</t>
  </si>
  <si>
    <t xml:space="preserve">Environment</t>
  </si>
  <si>
    <t xml:space="preserve">Input</t>
  </si>
  <si>
    <t xml:space="preserve">Output</t>
  </si>
  <si>
    <t xml:space="preserve">Computation</t>
  </si>
  <si>
    <t xml:space="preserve">Other</t>
  </si>
  <si>
    <t xml:space="preserve">Num</t>
  </si>
  <si>
    <t xml:space="preserve">Injected</t>
  </si>
  <si>
    <t xml:space="preserve">Removed</t>
  </si>
  <si>
    <t xml:space="preserve">FixTime</t>
  </si>
  <si>
    <t xml:space="preserve">Fix Ref.</t>
  </si>
  <si>
    <t xml:space="preserve">TAXONOMÍA PSP</t>
  </si>
  <si>
    <t xml:space="preserve">NÚMERO</t>
  </si>
  <si>
    <t xml:space="preserve">NOMBRE DEL TIPO</t>
  </si>
  <si>
    <t xml:space="preserve">DESCRIPCIÓN</t>
  </si>
  <si>
    <t xml:space="preserve">Documentación</t>
  </si>
  <si>
    <t xml:space="preserve">comentarios, mensajes</t>
  </si>
  <si>
    <t xml:space="preserve">Sintaxis</t>
  </si>
  <si>
    <t xml:space="preserve">puntuación, tipos, formato de instrucciones</t>
  </si>
  <si>
    <t xml:space="preserve">Construcción, paquetes</t>
  </si>
  <si>
    <t xml:space="preserve">administración de cambios, bibliotecas, control de versiones</t>
  </si>
  <si>
    <t xml:space="preserve">Asignación</t>
  </si>
  <si>
    <t xml:space="preserve">declaraciones, nombres duplicados, alcance y límites</t>
  </si>
  <si>
    <t xml:space="preserve">Interfaz</t>
  </si>
  <si>
    <t xml:space="preserve">llamadas a procedimientos y referencias, entrada/salida, formatos de usuarios</t>
  </si>
  <si>
    <t xml:space="preserve">Verificación</t>
  </si>
  <si>
    <t xml:space="preserve">mensajes de error, verificaciones inadecuadas</t>
  </si>
  <si>
    <t xml:space="preserve">Datos</t>
  </si>
  <si>
    <t xml:space="preserve">estructura, contenido</t>
  </si>
  <si>
    <t xml:space="preserve">Función</t>
  </si>
  <si>
    <t xml:space="preserve">lógica, apuntadores, ciclos, recursión, computación, defectos de función</t>
  </si>
  <si>
    <t xml:space="preserve">Sistema</t>
  </si>
  <si>
    <t xml:space="preserve">configuración, memoria.</t>
  </si>
  <si>
    <t xml:space="preserve">Ambiente</t>
  </si>
  <si>
    <t xml:space="preserve">diseño, compilación, prueba u otros problemas del sistema. </t>
  </si>
</sst>
</file>

<file path=xl/styles.xml><?xml version="1.0" encoding="utf-8"?>
<styleSheet xmlns="http://schemas.openxmlformats.org/spreadsheetml/2006/main">
  <numFmts count="10">
    <numFmt numFmtId="164" formatCode="General"/>
    <numFmt numFmtId="165" formatCode="#,##0_);\(#,##0\)"/>
    <numFmt numFmtId="166" formatCode="0.00_)"/>
    <numFmt numFmtId="167" formatCode="0.00%"/>
    <numFmt numFmtId="168" formatCode="0.0"/>
    <numFmt numFmtId="169" formatCode="m/d/yyyy"/>
    <numFmt numFmtId="170" formatCode="0"/>
    <numFmt numFmtId="171" formatCode="h:mm"/>
    <numFmt numFmtId="172" formatCode="mm/dd/yy"/>
    <numFmt numFmtId="173" formatCode="h:mm:ss"/>
  </numFmts>
  <fonts count="29">
    <font>
      <sz val="10"/>
      <name val="Arial"/>
      <family val="0"/>
      <charset val="1"/>
    </font>
    <font>
      <sz val="10"/>
      <name val="Arial"/>
      <family val="0"/>
    </font>
    <font>
      <sz val="10"/>
      <name val="Arial"/>
      <family val="0"/>
    </font>
    <font>
      <sz val="10"/>
      <name val="Arial"/>
      <family val="0"/>
    </font>
    <font>
      <sz val="8"/>
      <name val="Arial"/>
      <family val="2"/>
      <charset val="1"/>
    </font>
    <font>
      <sz val="7"/>
      <name val="Small Fonts"/>
      <family val="2"/>
      <charset val="1"/>
    </font>
    <font>
      <b val="true"/>
      <i val="true"/>
      <sz val="16"/>
      <name val="Arial"/>
      <family val="0"/>
      <charset val="1"/>
    </font>
    <font>
      <sz val="10"/>
      <name val="Arial"/>
      <family val="2"/>
      <charset val="1"/>
    </font>
    <font>
      <sz val="10"/>
      <name val="MS Sans Serif"/>
      <family val="2"/>
      <charset val="1"/>
    </font>
    <font>
      <b val="true"/>
      <sz val="12"/>
      <name val="Arial Black"/>
      <family val="2"/>
      <charset val="1"/>
    </font>
    <font>
      <sz val="7"/>
      <name val="Arial"/>
      <family val="2"/>
      <charset val="1"/>
    </font>
    <font>
      <b val="true"/>
      <sz val="10"/>
      <name val="Arial"/>
      <family val="2"/>
      <charset val="1"/>
    </font>
    <font>
      <b val="true"/>
      <sz val="10"/>
      <color theme="4" tint="-0.25"/>
      <name val="Arial"/>
      <family val="2"/>
      <charset val="1"/>
    </font>
    <font>
      <sz val="10"/>
      <color theme="4" tint="-0.25"/>
      <name val="Arial"/>
      <family val="2"/>
      <charset val="1"/>
    </font>
    <font>
      <i val="true"/>
      <sz val="10"/>
      <name val="Arial"/>
      <family val="2"/>
      <charset val="1"/>
    </font>
    <font>
      <b val="true"/>
      <i val="true"/>
      <sz val="10"/>
      <name val="Arial"/>
      <family val="2"/>
      <charset val="1"/>
    </font>
    <font>
      <b val="true"/>
      <sz val="8"/>
      <color rgb="FF0070C0"/>
      <name val="Arial"/>
      <family val="2"/>
      <charset val="1"/>
    </font>
    <font>
      <b val="true"/>
      <sz val="8"/>
      <name val="Arial"/>
      <family val="2"/>
      <charset val="1"/>
    </font>
    <font>
      <b val="true"/>
      <sz val="9"/>
      <name val="Arial"/>
      <family val="2"/>
      <charset val="1"/>
    </font>
    <font>
      <sz val="10"/>
      <color rgb="FF0070C0"/>
      <name val="Arial"/>
      <family val="2"/>
      <charset val="1"/>
    </font>
    <font>
      <b val="true"/>
      <sz val="8"/>
      <color theme="1"/>
      <name val="Arial"/>
      <family val="2"/>
      <charset val="1"/>
    </font>
    <font>
      <i val="true"/>
      <sz val="10"/>
      <color rgb="FF0070C0"/>
      <name val="Arial"/>
      <family val="2"/>
      <charset val="1"/>
    </font>
    <font>
      <b val="true"/>
      <sz val="8"/>
      <color rgb="FF000000"/>
      <name val="Arial"/>
      <family val="0"/>
    </font>
    <font>
      <sz val="16"/>
      <name val="Arial"/>
      <family val="2"/>
      <charset val="1"/>
    </font>
    <font>
      <sz val="9"/>
      <name val="Arial"/>
      <family val="2"/>
      <charset val="1"/>
    </font>
    <font>
      <sz val="8"/>
      <color rgb="FFFF0000"/>
      <name val="Arial"/>
      <family val="2"/>
      <charset val="1"/>
    </font>
    <font>
      <sz val="6"/>
      <color rgb="FF222222"/>
      <name val="Arial"/>
      <family val="2"/>
      <charset val="1"/>
    </font>
    <font>
      <b val="true"/>
      <sz val="10"/>
      <color rgb="FF000000"/>
      <name val="Arial Unicode MS"/>
      <family val="2"/>
      <charset val="1"/>
    </font>
    <font>
      <sz val="10"/>
      <color rgb="FF000000"/>
      <name val="Arial Unicode MS"/>
      <family val="2"/>
      <charset val="1"/>
    </font>
  </fonts>
  <fills count="7">
    <fill>
      <patternFill patternType="none"/>
    </fill>
    <fill>
      <patternFill patternType="gray125"/>
    </fill>
    <fill>
      <patternFill patternType="solid">
        <fgColor rgb="FFC0C0C0"/>
        <bgColor rgb="FFB9CDE5"/>
      </patternFill>
    </fill>
    <fill>
      <patternFill patternType="solid">
        <fgColor rgb="FFFFFFC0"/>
        <bgColor rgb="FFFFFF99"/>
      </patternFill>
    </fill>
    <fill>
      <patternFill patternType="solid">
        <fgColor rgb="FFE0E0E0"/>
        <bgColor rgb="FFB9CDE5"/>
      </patternFill>
    </fill>
    <fill>
      <patternFill patternType="solid">
        <fgColor theme="4" tint="0.5999"/>
        <bgColor rgb="FFC0C0C0"/>
      </patternFill>
    </fill>
    <fill>
      <patternFill patternType="solid">
        <fgColor rgb="FFFFFFFF"/>
        <bgColor rgb="FFFFFFC0"/>
      </patternFill>
    </fill>
  </fills>
  <borders count="5">
    <border diagonalUp="false" diagonalDown="false">
      <left/>
      <right/>
      <top/>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style="thin"/>
      <top/>
      <bottom/>
      <diagonal/>
    </border>
    <border diagonalUp="false" diagonalDown="false">
      <left style="thin">
        <color rgb="FF727CA3"/>
      </left>
      <right style="thin">
        <color rgb="FF727CA3"/>
      </right>
      <top style="thin">
        <color rgb="FF727CA3"/>
      </top>
      <bottom style="thin">
        <color rgb="FF727CA3"/>
      </bottom>
      <diagonal/>
    </border>
  </borders>
  <cellStyleXfs count="3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false" applyAlignment="true" applyProtection="false">
      <alignment horizontal="general" vertical="bottom" textRotation="0" wrapText="false" indent="0" shrinkToFit="false"/>
    </xf>
    <xf numFmtId="164" fontId="4" fillId="3" borderId="0" applyFont="true" applyBorder="false" applyAlignment="true" applyProtection="false">
      <alignment horizontal="general" vertical="bottom" textRotation="0" wrapText="false" indent="0" shrinkToFit="false"/>
    </xf>
    <xf numFmtId="165" fontId="5" fillId="0" borderId="0" applyFont="true" applyBorder="true" applyAlignment="true" applyProtection="true">
      <alignment horizontal="general" vertical="bottom" textRotation="0" wrapText="false" indent="0" shrinkToFit="false"/>
      <protection locked="true" hidden="false"/>
    </xf>
    <xf numFmtId="166"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7" fontId="0" fillId="0" borderId="0" applyFont="true" applyBorder="false" applyAlignment="true" applyProtection="false">
      <alignment horizontal="general" vertical="bottom" textRotation="0" wrapText="false" indent="0" shrinkToFit="false"/>
    </xf>
  </cellStyleXfs>
  <cellXfs count="81">
    <xf numFmtId="164" fontId="0" fillId="0" borderId="0" xfId="0" applyFont="false" applyBorder="false" applyAlignment="false" applyProtection="false">
      <alignment horizontal="general" vertical="bottom" textRotation="0" wrapText="false" indent="0" shrinkToFit="false"/>
      <protection locked="true" hidden="false"/>
    </xf>
    <xf numFmtId="164" fontId="7" fillId="0" borderId="0" xfId="25" applyFont="true" applyBorder="false" applyAlignment="true" applyProtection="true">
      <alignment horizontal="justify" vertical="top" textRotation="0" wrapText="true" indent="0" shrinkToFit="false"/>
      <protection locked="true" hidden="false"/>
    </xf>
    <xf numFmtId="164" fontId="7" fillId="2" borderId="0" xfId="25" applyFont="true" applyBorder="false" applyAlignment="true" applyProtection="true">
      <alignment horizontal="general" vertical="bottom" textRotation="0" wrapText="false" indent="0" shrinkToFit="false"/>
      <protection locked="true" hidden="false"/>
    </xf>
    <xf numFmtId="164" fontId="9" fillId="2" borderId="0" xfId="25" applyFont="true" applyBorder="false" applyAlignment="true" applyProtection="true">
      <alignment horizontal="center" vertical="center" textRotation="0" wrapText="true" indent="0" shrinkToFit="false"/>
      <protection locked="true" hidden="false"/>
    </xf>
    <xf numFmtId="164" fontId="10" fillId="2" borderId="0" xfId="25" applyFont="true" applyBorder="false" applyAlignment="true" applyProtection="true">
      <alignment horizontal="left" vertical="bottom" textRotation="90" wrapText="true" indent="0" shrinkToFit="false"/>
      <protection locked="true" hidden="false"/>
    </xf>
    <xf numFmtId="164" fontId="11" fillId="0" borderId="0" xfId="25" applyFont="true" applyBorder="false" applyAlignment="true" applyProtection="true">
      <alignment horizontal="left" vertical="top" textRotation="0" wrapText="true" indent="1" shrinkToFit="false"/>
      <protection locked="true" hidden="false"/>
    </xf>
    <xf numFmtId="164" fontId="12" fillId="0" borderId="0" xfId="25" applyFont="true" applyBorder="false" applyAlignment="true" applyProtection="true">
      <alignment horizontal="left" vertical="top" textRotation="0" wrapText="true" indent="1" shrinkToFit="false"/>
      <protection locked="true" hidden="false"/>
    </xf>
    <xf numFmtId="164" fontId="11" fillId="0" borderId="0" xfId="25" applyFont="true" applyBorder="false" applyAlignment="true" applyProtection="true">
      <alignment horizontal="justify" vertical="top" textRotation="0" wrapText="true" indent="0" shrinkToFit="false"/>
      <protection locked="true" hidden="false"/>
    </xf>
    <xf numFmtId="164" fontId="12" fillId="0" borderId="0" xfId="25" applyFont="true" applyBorder="false" applyAlignment="true" applyProtection="true">
      <alignment horizontal="justify" vertical="top" textRotation="0" wrapText="true" indent="0" shrinkToFit="false"/>
      <protection locked="true" hidden="false"/>
    </xf>
    <xf numFmtId="164" fontId="7" fillId="0" borderId="0" xfId="25" applyFont="true" applyBorder="false" applyAlignment="true" applyProtection="true">
      <alignment horizontal="justify" vertical="top" textRotation="0" wrapText="false" indent="0" shrinkToFit="false"/>
      <protection locked="true" hidden="false"/>
    </xf>
    <xf numFmtId="164" fontId="11" fillId="0" borderId="0" xfId="25" applyFont="true" applyBorder="false" applyAlignment="true" applyProtection="true">
      <alignment horizontal="justify" vertical="top" textRotation="0" wrapText="false" indent="0" shrinkToFit="false"/>
      <protection locked="true" hidden="false"/>
    </xf>
    <xf numFmtId="164" fontId="15" fillId="0" borderId="0" xfId="25" applyFont="true" applyBorder="false" applyAlignment="true" applyProtection="true">
      <alignment horizontal="justify" vertical="top" textRotation="0" wrapText="true" indent="0" shrinkToFit="false"/>
      <protection locked="true" hidden="false"/>
    </xf>
    <xf numFmtId="164" fontId="7" fillId="0" borderId="0" xfId="0" applyFont="true" applyBorder="false" applyAlignment="true" applyProtection="true">
      <alignment horizontal="left" vertical="bottom" textRotation="0" wrapText="false" indent="1" shrinkToFit="false"/>
      <protection locked="true" hidden="false"/>
    </xf>
    <xf numFmtId="168" fontId="16" fillId="0" borderId="0" xfId="27" applyFont="true" applyBorder="false" applyAlignment="true" applyProtection="true">
      <alignment horizontal="general" vertical="bottom" textRotation="0" wrapText="false" indent="0" shrinkToFit="false"/>
      <protection locked="false" hidden="false"/>
    </xf>
    <xf numFmtId="164" fontId="16" fillId="0" borderId="0" xfId="27" applyFont="true" applyBorder="false" applyAlignment="true" applyProtection="true">
      <alignment horizontal="general" vertical="bottom" textRotation="0" wrapText="false" indent="0" shrinkToFit="false"/>
      <protection locked="false" hidden="false"/>
    </xf>
    <xf numFmtId="164" fontId="11" fillId="0" borderId="0" xfId="0" applyFont="true" applyBorder="false" applyAlignment="true" applyProtection="true">
      <alignment horizontal="general" vertical="bottom" textRotation="0" wrapText="false" indent="0" shrinkToFit="false"/>
      <protection locked="true" hidden="false"/>
    </xf>
    <xf numFmtId="164" fontId="7" fillId="0" borderId="0" xfId="28" applyFont="true" applyBorder="false" applyAlignment="true" applyProtection="true">
      <alignment horizontal="general" vertical="bottom" textRotation="0" wrapText="false" indent="0" shrinkToFit="false"/>
      <protection locked="true" hidden="false"/>
    </xf>
    <xf numFmtId="164" fontId="17" fillId="0" borderId="0" xfId="28" applyFont="true" applyBorder="false" applyAlignment="true" applyProtection="true">
      <alignment horizontal="general" vertical="bottom" textRotation="0" wrapText="false" indent="0" shrinkToFit="false"/>
      <protection locked="true" hidden="false"/>
    </xf>
    <xf numFmtId="164" fontId="7" fillId="0" borderId="0" xfId="28" applyFont="true" applyBorder="false" applyAlignment="true" applyProtection="true">
      <alignment horizontal="left" vertical="bottom" textRotation="0" wrapText="false" indent="0" shrinkToFit="false"/>
      <protection locked="true" hidden="false"/>
    </xf>
    <xf numFmtId="164" fontId="11" fillId="0" borderId="0" xfId="28" applyFont="true" applyBorder="true" applyAlignment="true" applyProtection="true">
      <alignment horizontal="center" vertical="bottom" textRotation="0" wrapText="false" indent="0" shrinkToFit="false"/>
      <protection locked="true" hidden="false"/>
    </xf>
    <xf numFmtId="169" fontId="18" fillId="4" borderId="1" xfId="28" applyFont="true" applyBorder="true" applyAlignment="true" applyProtection="true">
      <alignment horizontal="general" vertical="bottom" textRotation="0" wrapText="false" indent="0" shrinkToFit="false"/>
      <protection locked="false" hidden="false"/>
    </xf>
    <xf numFmtId="164" fontId="11" fillId="4" borderId="1" xfId="28" applyFont="true" applyBorder="true" applyAlignment="true" applyProtection="true">
      <alignment horizontal="general" vertical="bottom" textRotation="0" wrapText="false" indent="0" shrinkToFit="false"/>
      <protection locked="false" hidden="false"/>
    </xf>
    <xf numFmtId="164" fontId="11" fillId="0" borderId="0" xfId="28" applyFont="true" applyBorder="false" applyAlignment="true" applyProtection="true">
      <alignment horizontal="general" vertical="bottom" textRotation="0" wrapText="false" indent="0" shrinkToFit="false"/>
      <protection locked="true" hidden="false"/>
    </xf>
    <xf numFmtId="164" fontId="18" fillId="0" borderId="0" xfId="28" applyFont="true" applyBorder="false" applyAlignment="true" applyProtection="true">
      <alignment horizontal="general" vertical="bottom" textRotation="0" wrapText="false" indent="0" shrinkToFit="false"/>
      <protection locked="true" hidden="false"/>
    </xf>
    <xf numFmtId="164" fontId="19" fillId="0" borderId="0" xfId="28" applyFont="true" applyBorder="false" applyAlignment="true" applyProtection="true">
      <alignment horizontal="right" vertical="bottom" textRotation="0" wrapText="fals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8" fontId="18" fillId="4" borderId="1" xfId="28" applyFont="true" applyBorder="true" applyAlignment="true" applyProtection="true">
      <alignment horizontal="general" vertical="bottom" textRotation="0" wrapText="false" indent="0" shrinkToFit="false"/>
      <protection locked="false" hidden="false"/>
    </xf>
    <xf numFmtId="170" fontId="8" fillId="0" borderId="0" xfId="28" applyFont="true" applyBorder="false" applyAlignment="true" applyProtection="true">
      <alignment horizontal="general" vertical="bottom" textRotation="0" wrapText="false" indent="0" shrinkToFit="false"/>
      <protection locked="true" hidden="false"/>
    </xf>
    <xf numFmtId="170" fontId="8" fillId="0" borderId="1" xfId="28" applyFont="true" applyBorder="true" applyAlignment="true" applyProtection="true">
      <alignment horizontal="general" vertical="bottom"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8" fillId="0" borderId="0" xfId="28" applyFont="true" applyBorder="false" applyAlignment="true" applyProtection="true">
      <alignment horizontal="general" vertical="bottom" textRotation="0" wrapText="false" indent="0" shrinkToFit="false"/>
      <protection locked="true" hidden="false"/>
    </xf>
    <xf numFmtId="168" fontId="7" fillId="0" borderId="0" xfId="28" applyFont="true" applyBorder="false" applyAlignment="true" applyProtection="true">
      <alignment horizontal="general" vertical="bottom" textRotation="0" wrapText="false" indent="0" shrinkToFit="false"/>
      <protection locked="true" hidden="false"/>
    </xf>
    <xf numFmtId="164" fontId="21" fillId="0" borderId="0" xfId="28"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23" fillId="0" borderId="0" xfId="0" applyFont="true" applyBorder="true" applyAlignment="true" applyProtection="true">
      <alignment horizontal="center"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7" fillId="5" borderId="2" xfId="0" applyFont="true" applyBorder="true" applyAlignment="true" applyProtection="true">
      <alignment horizontal="center" vertical="bottom" textRotation="0" wrapText="false" indent="0" shrinkToFit="false"/>
      <protection locked="true" hidden="false"/>
    </xf>
    <xf numFmtId="164" fontId="7" fillId="5" borderId="2" xfId="0" applyFont="true" applyBorder="true" applyAlignment="true" applyProtection="true">
      <alignment horizontal="center" vertical="bottom" textRotation="0" wrapText="true" indent="0" shrinkToFit="false"/>
      <protection locked="true" hidden="false"/>
    </xf>
    <xf numFmtId="164" fontId="7" fillId="0" borderId="2" xfId="0" applyFont="true" applyBorder="true" applyAlignment="true" applyProtection="true">
      <alignment horizontal="general" vertical="bottom" textRotation="0" wrapText="false" indent="0" shrinkToFit="false"/>
      <protection locked="true" hidden="false"/>
    </xf>
    <xf numFmtId="164" fontId="0" fillId="0" borderId="2" xfId="0" applyFont="false" applyBorder="true" applyAlignment="true" applyProtection="true">
      <alignment horizontal="general" vertical="bottom" textRotation="0" wrapText="false" indent="0" shrinkToFit="false"/>
      <protection locked="true" hidden="false"/>
    </xf>
    <xf numFmtId="164" fontId="7" fillId="0" borderId="2" xfId="0" applyFont="true" applyBorder="true" applyAlignment="true" applyProtection="true">
      <alignment horizontal="general" vertical="bottom" textRotation="0" wrapText="true" indent="0" shrinkToFit="false"/>
      <protection locked="true" hidden="false"/>
    </xf>
    <xf numFmtId="164" fontId="11" fillId="5" borderId="2" xfId="0" applyFont="true" applyBorder="true" applyAlignment="true" applyProtection="true">
      <alignment horizontal="center" vertical="bottom" textRotation="0" wrapText="false" indent="0" shrinkToFit="false"/>
      <protection locked="true" hidden="false"/>
    </xf>
    <xf numFmtId="164" fontId="11" fillId="5" borderId="3" xfId="0" applyFont="true" applyBorder="true" applyAlignment="true" applyProtection="true">
      <alignment horizontal="center" vertical="bottom" textRotation="0" wrapText="false" indent="0" shrinkToFit="false"/>
      <protection locked="true" hidden="false"/>
    </xf>
    <xf numFmtId="164" fontId="11" fillId="0" borderId="3" xfId="0" applyFont="true" applyBorder="true" applyAlignment="true" applyProtection="true">
      <alignment horizontal="general" vertical="bottom" textRotation="0" wrapText="false" indent="0" shrinkToFit="false"/>
      <protection locked="true" hidden="false"/>
    </xf>
    <xf numFmtId="170" fontId="4" fillId="0" borderId="0" xfId="27" applyFont="true" applyBorder="false" applyAlignment="true" applyProtection="true">
      <alignment horizontal="general" vertical="bottom" textRotation="0" wrapText="false" indent="0" shrinkToFit="false"/>
      <protection locked="false" hidden="false"/>
    </xf>
    <xf numFmtId="164" fontId="4" fillId="0" borderId="0" xfId="27" applyFont="true" applyBorder="false" applyAlignment="true" applyProtection="true">
      <alignment horizontal="general" vertical="bottom" textRotation="0" wrapText="false" indent="0" shrinkToFit="false"/>
      <protection locked="false" hidden="false"/>
    </xf>
    <xf numFmtId="169" fontId="4" fillId="0" borderId="0" xfId="27" applyFont="true" applyBorder="false" applyAlignment="true" applyProtection="true">
      <alignment horizontal="general" vertical="bottom" textRotation="0" wrapText="false" indent="0" shrinkToFit="false"/>
      <protection locked="false" hidden="false"/>
    </xf>
    <xf numFmtId="171" fontId="4" fillId="0" borderId="0" xfId="27" applyFont="true" applyBorder="false" applyAlignment="true" applyProtection="true">
      <alignment horizontal="general" vertical="bottom" textRotation="0" wrapText="false" indent="0" shrinkToFit="false"/>
      <protection locked="false" hidden="false"/>
    </xf>
    <xf numFmtId="168" fontId="4" fillId="0" borderId="0" xfId="27" applyFont="true" applyBorder="false" applyAlignment="true" applyProtection="true">
      <alignment horizontal="general" vertical="bottom" textRotation="0" wrapText="false" indent="0" shrinkToFit="false"/>
      <protection locked="false" hidden="false"/>
    </xf>
    <xf numFmtId="164" fontId="24" fillId="2" borderId="0" xfId="27" applyFont="true" applyBorder="false" applyAlignment="true" applyProtection="true">
      <alignment horizontal="general" vertical="bottom" textRotation="0" wrapText="false" indent="0" shrinkToFit="false"/>
      <protection locked="true" hidden="false"/>
    </xf>
    <xf numFmtId="170" fontId="4" fillId="2" borderId="2" xfId="27" applyFont="true" applyBorder="true" applyAlignment="true" applyProtection="true">
      <alignment horizontal="center" vertical="bottom" textRotation="0" wrapText="true" indent="0" shrinkToFit="false"/>
      <protection locked="true" hidden="false"/>
    </xf>
    <xf numFmtId="164" fontId="4" fillId="2" borderId="2" xfId="27" applyFont="true" applyBorder="true" applyAlignment="true" applyProtection="true">
      <alignment horizontal="center" vertical="bottom" textRotation="0" wrapText="true" indent="0" shrinkToFit="false"/>
      <protection locked="true" hidden="false"/>
    </xf>
    <xf numFmtId="169" fontId="4" fillId="2" borderId="2" xfId="27" applyFont="true" applyBorder="true" applyAlignment="true" applyProtection="true">
      <alignment horizontal="center" vertical="bottom" textRotation="0" wrapText="true" indent="0" shrinkToFit="false"/>
      <protection locked="true" hidden="false"/>
    </xf>
    <xf numFmtId="171" fontId="4" fillId="2" borderId="2" xfId="27" applyFont="true" applyBorder="true" applyAlignment="true" applyProtection="true">
      <alignment horizontal="center" vertical="bottom" textRotation="0" wrapText="true" indent="0" shrinkToFit="false"/>
      <protection locked="true" hidden="false"/>
    </xf>
    <xf numFmtId="168" fontId="4" fillId="2" borderId="2" xfId="27" applyFont="true" applyBorder="true" applyAlignment="true" applyProtection="true">
      <alignment horizontal="center" vertical="bottom" textRotation="0" wrapText="true" indent="0" shrinkToFit="false"/>
      <protection locked="true" hidden="false"/>
    </xf>
    <xf numFmtId="164" fontId="24" fillId="2" borderId="0" xfId="27" applyFont="true" applyBorder="false" applyAlignment="true" applyProtection="true">
      <alignment horizontal="center" vertical="bottom" textRotation="0" wrapText="true" indent="0" shrinkToFit="false"/>
      <protection locked="true" hidden="false"/>
    </xf>
    <xf numFmtId="170"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72" fontId="4" fillId="0" borderId="0" xfId="26" applyFont="true" applyBorder="false" applyAlignment="true" applyProtection="true">
      <alignment horizontal="general" vertical="bottom" textRotation="0" wrapText="false" indent="0" shrinkToFit="false"/>
      <protection locked="false" hidden="false"/>
    </xf>
    <xf numFmtId="173"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26" applyFont="true" applyBorder="false" applyAlignment="true" applyProtection="true">
      <alignment horizontal="general" vertical="bottom" textRotation="0" wrapText="false" indent="0" shrinkToFit="false"/>
      <protection locked="false" hidden="false"/>
    </xf>
    <xf numFmtId="173" fontId="4" fillId="0" borderId="0" xfId="27" applyFont="true" applyBorder="false" applyAlignment="true" applyProtection="true">
      <alignment horizontal="general" vertical="bottom" textRotation="0" wrapText="false" indent="0" shrinkToFit="false"/>
      <protection locked="false" hidden="false"/>
    </xf>
    <xf numFmtId="168" fontId="4" fillId="0" borderId="0" xfId="26" applyFont="true" applyBorder="false" applyAlignment="true" applyProtection="true">
      <alignment horizontal="general" vertical="bottom" textRotation="0" wrapText="false" indent="0" shrinkToFit="false"/>
      <protection locked="false" hidden="false"/>
    </xf>
    <xf numFmtId="170" fontId="4" fillId="0" borderId="0" xfId="0" applyFont="true" applyBorder="false" applyAlignment="true" applyProtection="true">
      <alignment horizontal="general" vertical="bottom" textRotation="0" wrapText="false" indent="0" shrinkToFit="false"/>
      <protection locked="false" hidden="false"/>
    </xf>
    <xf numFmtId="172" fontId="4" fillId="0" borderId="0" xfId="27" applyFont="true" applyBorder="false" applyAlignment="true" applyProtection="true">
      <alignment horizontal="general" vertical="bottom" textRotation="0" wrapText="false" indent="0" shrinkToFit="false"/>
      <protection locked="false" hidden="false"/>
    </xf>
    <xf numFmtId="164" fontId="4" fillId="0" borderId="0" xfId="27" applyFont="true" applyBorder="false" applyAlignment="true" applyProtection="true">
      <alignment horizontal="general" vertical="bottom" textRotation="0" wrapText="tru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center" vertical="bottom" textRotation="0" wrapText="false" indent="0" shrinkToFit="false"/>
      <protection locked="true" hidden="false"/>
    </xf>
    <xf numFmtId="164" fontId="25" fillId="0" borderId="0" xfId="0" applyFont="true" applyBorder="false" applyAlignment="true" applyProtection="true">
      <alignment horizontal="general" vertical="bottom" textRotation="0" wrapText="false" indent="0" shrinkToFit="false"/>
      <protection locked="true" hidden="false"/>
    </xf>
    <xf numFmtId="164" fontId="25" fillId="0" borderId="0" xfId="0" applyFont="true" applyBorder="false" applyAlignment="true" applyProtection="true">
      <alignment horizontal="general" vertical="bottom" textRotation="0" wrapText="false" indent="0" shrinkToFit="false"/>
      <protection locked="false" hidden="false"/>
    </xf>
    <xf numFmtId="164" fontId="26" fillId="6" borderId="0" xfId="0" applyFont="true" applyBorder="false" applyAlignment="true" applyProtection="true">
      <alignment horizontal="general" vertical="center" textRotation="0" wrapText="true" indent="0" shrinkToFit="false"/>
      <protection locked="true" hidden="false"/>
    </xf>
    <xf numFmtId="164" fontId="4" fillId="2" borderId="0" xfId="27" applyFont="true" applyBorder="false" applyAlignment="true" applyProtection="true">
      <alignment horizontal="general" vertical="bottom" textRotation="0" wrapText="false" indent="0" shrinkToFit="false"/>
      <protection locked="true" hidden="false"/>
    </xf>
    <xf numFmtId="170" fontId="4" fillId="2" borderId="2" xfId="27" applyFont="true" applyBorder="true" applyAlignment="true" applyProtection="true">
      <alignment horizontal="general" vertical="bottom" textRotation="0" wrapText="true" indent="0" shrinkToFit="false"/>
      <protection locked="true" hidden="false"/>
    </xf>
    <xf numFmtId="164" fontId="4" fillId="2" borderId="0" xfId="27" applyFont="true" applyBorder="false" applyAlignment="true" applyProtection="true">
      <alignment horizontal="center" vertical="bottom" textRotation="0" wrapText="true" indent="0" shrinkToFit="false"/>
      <protection locked="true" hidden="false"/>
    </xf>
    <xf numFmtId="170" fontId="4" fillId="0" borderId="0" xfId="24" applyFont="true" applyBorder="false" applyAlignment="true" applyProtection="true">
      <alignment horizontal="general" vertical="bottom" textRotation="0" wrapText="false" indent="0" shrinkToFit="false"/>
      <protection locked="false" hidden="false"/>
    </xf>
    <xf numFmtId="169"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24" applyFont="true" applyBorder="false" applyAlignment="true" applyProtection="true">
      <alignment horizontal="general" vertical="bottom" textRotation="0" wrapText="false" indent="0" shrinkToFit="false"/>
      <protection locked="false" hidden="false"/>
    </xf>
    <xf numFmtId="164" fontId="27" fillId="0" borderId="4" xfId="0" applyFont="true" applyBorder="true" applyAlignment="true" applyProtection="true">
      <alignment horizontal="center" vertical="center" textRotation="0" wrapText="true" indent="0" shrinkToFit="false" readingOrder="1"/>
      <protection locked="true" hidden="false"/>
    </xf>
    <xf numFmtId="164" fontId="28" fillId="0" borderId="4" xfId="0" applyFont="true" applyBorder="true" applyAlignment="true" applyProtection="true">
      <alignment horizontal="center" vertical="bottom" textRotation="0" wrapText="true" indent="0" shrinkToFit="false" readingOrder="1"/>
      <protection locked="true" hidden="false"/>
    </xf>
    <xf numFmtId="164" fontId="28" fillId="0" borderId="4" xfId="0" applyFont="true" applyBorder="true" applyAlignment="true" applyProtection="true">
      <alignment horizontal="left" vertical="bottom" textRotation="0" wrapText="true" indent="3" shrinkToFit="false" readingOrder="1"/>
      <protection locked="true" hidden="false"/>
    </xf>
  </cellXfs>
  <cellStyles count="16">
    <cellStyle name="Normal" xfId="0" builtinId="0"/>
    <cellStyle name="Comma" xfId="15" builtinId="3"/>
    <cellStyle name="Comma [0]" xfId="16" builtinId="6"/>
    <cellStyle name="Currency" xfId="17" builtinId="4"/>
    <cellStyle name="Currency [0]" xfId="18" builtinId="7"/>
    <cellStyle name="Percent" xfId="19" builtinId="5"/>
    <cellStyle name="Grey" xfId="20"/>
    <cellStyle name="Input [yellow]" xfId="21"/>
    <cellStyle name="no dec" xfId="22"/>
    <cellStyle name="Normal - Style1" xfId="23"/>
    <cellStyle name="Normal 2" xfId="24"/>
    <cellStyle name="Normal_Stuwbk97.test" xfId="25"/>
    <cellStyle name="Normal_Stuwbk97vBr1.10" xfId="26"/>
    <cellStyle name="Normal_Stuwbk97vBr1.11" xfId="27"/>
    <cellStyle name="Normal_Stuwbk97vBr1.8.a" xfId="28"/>
    <cellStyle name="Percent [2]" xfId="29"/>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27CA3"/>
      <rgbColor rgb="FF9999FF"/>
      <rgbColor rgb="FF993366"/>
      <rgbColor rgb="FFFFFFC0"/>
      <rgbColor rgb="FFCCFFFF"/>
      <rgbColor rgb="FF660066"/>
      <rgbColor rgb="FFFF8080"/>
      <rgbColor rgb="FF0070C0"/>
      <rgbColor rgb="FFB9CDE5"/>
      <rgbColor rgb="FF000080"/>
      <rgbColor rgb="FFFF00FF"/>
      <rgbColor rgb="FFFFFF00"/>
      <rgbColor rgb="FF00FFFF"/>
      <rgbColor rgb="FF800080"/>
      <rgbColor rgb="FF800000"/>
      <rgbColor rgb="FF008080"/>
      <rgbColor rgb="FF0000FF"/>
      <rgbColor rgb="FF00CCFF"/>
      <rgbColor rgb="FFCCFFFF"/>
      <rgbColor rgb="FFE0E0E0"/>
      <rgbColor rgb="FFFFFF99"/>
      <rgbColor rgb="FF99CCFF"/>
      <rgbColor rgb="FFFF99CC"/>
      <rgbColor rgb="FFCC99FF"/>
      <rgbColor rgb="FFFFCC99"/>
      <rgbColor rgb="FF3366FF"/>
      <rgbColor rgb="FF33CCCC"/>
      <rgbColor rgb="FF99CC00"/>
      <rgbColor rgb="FFFFCC00"/>
      <rgbColor rgb="FFFF9900"/>
      <rgbColor rgb="FFFF6600"/>
      <rgbColor rgb="FF376092"/>
      <rgbColor rgb="FF969696"/>
      <rgbColor rgb="FF002060"/>
      <rgbColor rgb="FF339966"/>
      <rgbColor rgb="FF003300"/>
      <rgbColor rgb="FF333300"/>
      <rgbColor rgb="FF993300"/>
      <rgbColor rgb="FF993366"/>
      <rgbColor rgb="FF333399"/>
      <rgbColor rgb="FF222222"/>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drawings/_rels/drawing3.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0</xdr:colOff>
      <xdr:row>0</xdr:row>
      <xdr:rowOff>0</xdr:rowOff>
    </xdr:from>
    <xdr:to>
      <xdr:col>0</xdr:col>
      <xdr:colOff>453240</xdr:colOff>
      <xdr:row>2</xdr:row>
      <xdr:rowOff>18360</xdr:rowOff>
    </xdr:to>
    <xdr:sp>
      <xdr:nvSpPr>
        <xdr:cNvPr id="0" name="Rectangle 5" hidden="1"/>
        <xdr:cNvSpPr/>
      </xdr:nvSpPr>
      <xdr:spPr>
        <a:xfrm>
          <a:off x="0" y="0"/>
          <a:ext cx="453240" cy="332640"/>
        </a:xfrm>
        <a:prstGeom prst="rect">
          <a:avLst/>
        </a:prstGeom>
        <a:solidFill>
          <a:srgbClr val="ffffff"/>
        </a:solidFill>
        <a:ln w="0">
          <a:noFill/>
        </a:ln>
      </xdr:spPr>
      <xdr:style>
        <a:lnRef idx="0"/>
        <a:fillRef idx="0"/>
        <a:effectRef idx="0"/>
        <a:fontRef idx="minor"/>
      </xdr:style>
    </xdr:sp>
    <xdr:clientData/>
  </xdr:twoCellAnchor>
  <xdr:twoCellAnchor editAs="absolute">
    <xdr:from>
      <xdr:col>0</xdr:col>
      <xdr:colOff>0</xdr:colOff>
      <xdr:row>0</xdr:row>
      <xdr:rowOff>0</xdr:rowOff>
    </xdr:from>
    <xdr:to>
      <xdr:col>0</xdr:col>
      <xdr:colOff>453240</xdr:colOff>
      <xdr:row>0</xdr:row>
      <xdr:rowOff>151560</xdr:rowOff>
    </xdr:to>
    <xdr:sp>
      <xdr:nvSpPr>
        <xdr:cNvPr id="1" name="Rectangle 2" hidden="1"/>
        <xdr:cNvSpPr/>
      </xdr:nvSpPr>
      <xdr:spPr>
        <a:xfrm>
          <a:off x="0" y="0"/>
          <a:ext cx="453240" cy="15156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s-MX" sz="800" spc="-1" strike="noStrike">
              <a:solidFill>
                <a:srgbClr val="000000"/>
              </a:solidFill>
              <a:latin typeface="Arial"/>
            </a:rPr>
            <a:t>Project</a:t>
          </a:r>
          <a:endParaRPr b="0" lang="en-US" sz="800" spc="-1" strike="noStrike">
            <a:latin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2" descr="Import" hidden="0"/>
            <xdr:cNvSpPr/>
          </xdr:nvSpPr>
          <xdr:spPr>
            <a:xfrm>
              <a:off x="0" y="0"/>
              <a:ext cx="0" cy="0"/>
            </a:xfrm>
            <a:prstGeom prst="rect">
              <a:avLst/>
            </a:prstGeom>
          </xdr:spPr>
          <xdr:txBody>
            <a:bodyPr anchor="ctr">
              <a:noAutofit/>
            </a:bodyPr>
            <a:p>
              <a:r>
                <a:t>Import</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88920</xdr:colOff>
      <xdr:row>8</xdr:row>
      <xdr:rowOff>177840</xdr:rowOff>
    </xdr:from>
    <xdr:to>
      <xdr:col>7</xdr:col>
      <xdr:colOff>324720</xdr:colOff>
      <xdr:row>22</xdr:row>
      <xdr:rowOff>40680</xdr:rowOff>
    </xdr:to>
    <xdr:pic>
      <xdr:nvPicPr>
        <xdr:cNvPr id="2" name="Picture 2" descr=""/>
        <xdr:cNvPicPr/>
      </xdr:nvPicPr>
      <xdr:blipFill>
        <a:blip r:embed="rId1"/>
        <a:stretch/>
      </xdr:blipFill>
      <xdr:spPr>
        <a:xfrm>
          <a:off x="4199760" y="2816280"/>
          <a:ext cx="2899800" cy="2967840"/>
        </a:xfrm>
        <a:prstGeom prst="rect">
          <a:avLst/>
        </a:prstGeom>
        <a:ln w="0">
          <a:noFill/>
        </a:ln>
      </xdr:spPr>
    </xdr:pic>
    <xdr:clientData/>
  </xdr:twoCellAnchor>
  <xdr:twoCellAnchor editAs="oneCell">
    <xdr:from>
      <xdr:col>3</xdr:col>
      <xdr:colOff>152280</xdr:colOff>
      <xdr:row>0</xdr:row>
      <xdr:rowOff>96120</xdr:rowOff>
    </xdr:from>
    <xdr:to>
      <xdr:col>6</xdr:col>
      <xdr:colOff>511920</xdr:colOff>
      <xdr:row>8</xdr:row>
      <xdr:rowOff>69840</xdr:rowOff>
    </xdr:to>
    <xdr:pic>
      <xdr:nvPicPr>
        <xdr:cNvPr id="3" name="Picture 2" descr=""/>
        <xdr:cNvPicPr/>
      </xdr:nvPicPr>
      <xdr:blipFill>
        <a:blip r:embed="rId2"/>
        <a:stretch/>
      </xdr:blipFill>
      <xdr:spPr>
        <a:xfrm>
          <a:off x="4263120" y="96120"/>
          <a:ext cx="2271240" cy="2612160"/>
        </a:xfrm>
        <a:prstGeom prst="rect">
          <a:avLst/>
        </a:prstGeom>
        <a:ln w="0">
          <a:noFill/>
        </a:ln>
      </xdr:spPr>
    </xdr:pic>
    <xdr:clientData/>
  </xdr:twoCellAnchor>
  <xdr:twoCellAnchor editAs="oneCell">
    <xdr:from>
      <xdr:col>6</xdr:col>
      <xdr:colOff>514440</xdr:colOff>
      <xdr:row>0</xdr:row>
      <xdr:rowOff>133920</xdr:rowOff>
    </xdr:from>
    <xdr:to>
      <xdr:col>9</xdr:col>
      <xdr:colOff>518400</xdr:colOff>
      <xdr:row>7</xdr:row>
      <xdr:rowOff>68040</xdr:rowOff>
    </xdr:to>
    <xdr:pic>
      <xdr:nvPicPr>
        <xdr:cNvPr id="4" name="Picture 2" descr=""/>
        <xdr:cNvPicPr/>
      </xdr:nvPicPr>
      <xdr:blipFill>
        <a:blip r:embed="rId3"/>
        <a:stretch/>
      </xdr:blipFill>
      <xdr:spPr>
        <a:xfrm>
          <a:off x="6536880" y="133920"/>
          <a:ext cx="2261160" cy="1905840"/>
        </a:xfrm>
        <a:prstGeom prst="rect">
          <a:avLst/>
        </a:prstGeom>
        <a:ln w="0">
          <a:noFill/>
        </a:ln>
      </xdr:spPr>
    </xdr:pic>
    <xdr:clientData/>
  </xdr:twoCellAnchor>
  <xdr:twoCellAnchor editAs="oneCell">
    <xdr:from>
      <xdr:col>7</xdr:col>
      <xdr:colOff>311040</xdr:colOff>
      <xdr:row>7</xdr:row>
      <xdr:rowOff>298440</xdr:rowOff>
    </xdr:from>
    <xdr:to>
      <xdr:col>10</xdr:col>
      <xdr:colOff>262800</xdr:colOff>
      <xdr:row>14</xdr:row>
      <xdr:rowOff>51480</xdr:rowOff>
    </xdr:to>
    <xdr:pic>
      <xdr:nvPicPr>
        <xdr:cNvPr id="5" name="Picture 3" descr=""/>
        <xdr:cNvPicPr/>
      </xdr:nvPicPr>
      <xdr:blipFill>
        <a:blip r:embed="rId4"/>
        <a:stretch/>
      </xdr:blipFill>
      <xdr:spPr>
        <a:xfrm>
          <a:off x="7085880" y="2270160"/>
          <a:ext cx="2209320" cy="2229480"/>
        </a:xfrm>
        <a:prstGeom prst="rect">
          <a:avLst/>
        </a:prstGeom>
        <a:ln w="0">
          <a:noFill/>
        </a:ln>
      </xdr:spPr>
    </xdr:pic>
    <xdr:clientData/>
  </xdr:twoCellAnchor>
  <xdr:twoCellAnchor editAs="oneCell">
    <xdr:from>
      <xdr:col>10</xdr:col>
      <xdr:colOff>272880</xdr:colOff>
      <xdr:row>0</xdr:row>
      <xdr:rowOff>95400</xdr:rowOff>
    </xdr:from>
    <xdr:to>
      <xdr:col>13</xdr:col>
      <xdr:colOff>219600</xdr:colOff>
      <xdr:row>12</xdr:row>
      <xdr:rowOff>4320</xdr:rowOff>
    </xdr:to>
    <xdr:pic>
      <xdr:nvPicPr>
        <xdr:cNvPr id="6" name="Picture 2" descr=""/>
        <xdr:cNvPicPr/>
      </xdr:nvPicPr>
      <xdr:blipFill>
        <a:blip r:embed="rId5"/>
        <a:stretch/>
      </xdr:blipFill>
      <xdr:spPr>
        <a:xfrm>
          <a:off x="9305280" y="95400"/>
          <a:ext cx="2203920" cy="3699720"/>
        </a:xfrm>
        <a:prstGeom prst="rect">
          <a:avLst/>
        </a:prstGeom>
        <a:ln w="0">
          <a:noFill/>
        </a:ln>
      </xdr:spPr>
    </xdr:pic>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Documents%20and%20Settings/jwo/Desktop/jwo.xls"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xmlns:r="http://schemas.openxmlformats.org/officeDocument/2006/relationships" name="Tema de Offic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7.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2060"/>
    <pageSetUpPr fitToPage="false"/>
  </sheetPr>
  <dimension ref="A1:B5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9.109375" defaultRowHeight="12.75" zeroHeight="false" outlineLevelRow="0" outlineLevelCol="0"/>
  <cols>
    <col collapsed="false" customWidth="true" hidden="false" outlineLevel="0" max="1" min="1" style="1" width="91.11"/>
    <col collapsed="false" customWidth="false" hidden="false" outlineLevel="0" max="16384" min="2" style="2" width="9.11"/>
  </cols>
  <sheetData>
    <row r="1" customFormat="false" ht="18" hidden="false" customHeight="false" outlineLevel="0" collapsed="false">
      <c r="A1" s="3" t="s">
        <v>0</v>
      </c>
      <c r="B1" s="4"/>
    </row>
    <row r="3" customFormat="false" ht="39" hidden="false" customHeight="false" outlineLevel="0" collapsed="false">
      <c r="A3" s="1" t="s">
        <v>1</v>
      </c>
    </row>
    <row r="5" customFormat="false" ht="12.75" hidden="false" customHeight="false" outlineLevel="0" collapsed="false">
      <c r="A5" s="1" t="s">
        <v>2</v>
      </c>
    </row>
    <row r="6" customFormat="false" ht="26.25" hidden="false" customHeight="false" outlineLevel="0" collapsed="false">
      <c r="A6" s="5" t="s">
        <v>3</v>
      </c>
    </row>
    <row r="7" customFormat="false" ht="12.75" hidden="false" customHeight="false" outlineLevel="0" collapsed="false">
      <c r="A7" s="6" t="s">
        <v>4</v>
      </c>
    </row>
    <row r="8" customFormat="false" ht="12.75" hidden="false" customHeight="false" outlineLevel="0" collapsed="false">
      <c r="A8" s="6" t="s">
        <v>5</v>
      </c>
    </row>
    <row r="10" customFormat="false" ht="12.75" hidden="false" customHeight="false" outlineLevel="0" collapsed="false">
      <c r="A10" s="7" t="s">
        <v>6</v>
      </c>
    </row>
    <row r="11" customFormat="false" ht="12.75" hidden="false" customHeight="false" outlineLevel="0" collapsed="false">
      <c r="A11" s="7"/>
    </row>
    <row r="12" customFormat="false" ht="66" hidden="false" customHeight="false" outlineLevel="0" collapsed="false">
      <c r="A12" s="7" t="s">
        <v>7</v>
      </c>
    </row>
    <row r="13" customFormat="false" ht="12.75" hidden="false" customHeight="false" outlineLevel="0" collapsed="false">
      <c r="A13" s="8" t="s">
        <v>8</v>
      </c>
    </row>
    <row r="14" customFormat="false" ht="92.25" hidden="false" customHeight="false" outlineLevel="0" collapsed="false">
      <c r="A14" s="7" t="s">
        <v>9</v>
      </c>
    </row>
    <row r="15" customFormat="false" ht="12.75" hidden="false" customHeight="false" outlineLevel="0" collapsed="false">
      <c r="A15" s="8" t="s">
        <v>10</v>
      </c>
    </row>
    <row r="17" customFormat="false" ht="26.25" hidden="false" customHeight="false" outlineLevel="0" collapsed="false">
      <c r="A17" s="7" t="s">
        <v>11</v>
      </c>
    </row>
    <row r="19" customFormat="false" ht="26.25" hidden="false" customHeight="false" outlineLevel="0" collapsed="false">
      <c r="A19" s="9" t="s">
        <v>12</v>
      </c>
    </row>
    <row r="20" customFormat="false" ht="12.75" hidden="false" customHeight="false" outlineLevel="0" collapsed="false">
      <c r="A20" s="8" t="s">
        <v>8</v>
      </c>
    </row>
    <row r="21" customFormat="false" ht="12.75" hidden="false" customHeight="false" outlineLevel="0" collapsed="false">
      <c r="A21" s="9"/>
    </row>
    <row r="22" customFormat="false" ht="12.75" hidden="false" customHeight="false" outlineLevel="0" collapsed="false">
      <c r="A22" s="10" t="s">
        <v>13</v>
      </c>
    </row>
    <row r="23" customFormat="false" ht="52.5" hidden="false" customHeight="false" outlineLevel="0" collapsed="false">
      <c r="A23" s="9" t="s">
        <v>14</v>
      </c>
    </row>
    <row r="24" customFormat="false" ht="12.75" hidden="false" customHeight="false" outlineLevel="0" collapsed="false">
      <c r="A24" s="9"/>
    </row>
    <row r="25" customFormat="false" ht="12.75" hidden="false" customHeight="false" outlineLevel="0" collapsed="false">
      <c r="A25" s="9"/>
    </row>
    <row r="27" customFormat="false" ht="12.75" hidden="false" customHeight="false" outlineLevel="0" collapsed="false">
      <c r="A27" s="11" t="s">
        <v>15</v>
      </c>
    </row>
    <row r="28" customFormat="false" ht="12.75" hidden="false" customHeight="false" outlineLevel="0" collapsed="false">
      <c r="A28" s="1" t="s">
        <v>16</v>
      </c>
    </row>
    <row r="29" customFormat="false" ht="26.25" hidden="false" customHeight="false" outlineLevel="0" collapsed="false">
      <c r="A29" s="1" t="s">
        <v>17</v>
      </c>
    </row>
    <row r="30" customFormat="false" ht="12.75" hidden="false" customHeight="false" outlineLevel="0" collapsed="false">
      <c r="A30" s="12" t="s">
        <v>18</v>
      </c>
    </row>
    <row r="31" customFormat="false" ht="12.75" hidden="false" customHeight="false" outlineLevel="0" collapsed="false">
      <c r="A31" s="12" t="s">
        <v>19</v>
      </c>
    </row>
    <row r="32" customFormat="false" ht="12.75" hidden="false" customHeight="false" outlineLevel="0" collapsed="false">
      <c r="A32" s="12" t="s">
        <v>20</v>
      </c>
    </row>
    <row r="33" customFormat="false" ht="12.75" hidden="false" customHeight="false" outlineLevel="0" collapsed="false">
      <c r="A33" s="12" t="s">
        <v>21</v>
      </c>
    </row>
    <row r="34" customFormat="false" ht="12.75" hidden="false" customHeight="false" outlineLevel="0" collapsed="false">
      <c r="A34" s="12" t="s">
        <v>22</v>
      </c>
    </row>
    <row r="35" customFormat="false" ht="12.75" hidden="false" customHeight="false" outlineLevel="0" collapsed="false">
      <c r="A35" s="12" t="s">
        <v>23</v>
      </c>
    </row>
    <row r="36" customFormat="false" ht="12.75" hidden="false" customHeight="false" outlineLevel="0" collapsed="false">
      <c r="A36" s="12" t="s">
        <v>24</v>
      </c>
    </row>
    <row r="37" customFormat="false" ht="12.75" hidden="false" customHeight="false" outlineLevel="0" collapsed="false">
      <c r="A37" s="12" t="s">
        <v>25</v>
      </c>
    </row>
    <row r="38" customFormat="false" ht="12.75" hidden="false" customHeight="false" outlineLevel="0" collapsed="false">
      <c r="A38" s="12" t="s">
        <v>26</v>
      </c>
    </row>
    <row r="39" customFormat="false" ht="26.25" hidden="false" customHeight="false" outlineLevel="0" collapsed="false">
      <c r="A39" s="1" t="s">
        <v>27</v>
      </c>
    </row>
    <row r="40" customFormat="false" ht="29.25" hidden="false" customHeight="true" outlineLevel="0" collapsed="false">
      <c r="A40" s="1" t="s">
        <v>28</v>
      </c>
    </row>
    <row r="46" customFormat="false" ht="12.75" hidden="false" customHeight="false" outlineLevel="0" collapsed="false">
      <c r="A46" s="13"/>
    </row>
    <row r="47" customFormat="false" ht="12.75" hidden="false" customHeight="false" outlineLevel="0" collapsed="false">
      <c r="A47" s="13"/>
    </row>
    <row r="48" customFormat="false" ht="12.75" hidden="false" customHeight="false" outlineLevel="0" collapsed="false">
      <c r="A48" s="14"/>
    </row>
    <row r="50" customFormat="false" ht="12.75" hidden="false" customHeight="false" outlineLevel="0" collapsed="false">
      <c r="A50" s="15"/>
    </row>
    <row r="51" customFormat="false" ht="12.75" hidden="false" customHeight="false" outlineLevel="0" collapsed="false">
      <c r="A51" s="15"/>
    </row>
  </sheetData>
  <printOptions headings="false" gridLines="false" gridLinesSet="true" horizontalCentered="false" verticalCentered="false"/>
  <pageMargins left="0.75" right="0.75" top="1" bottom="1" header="0.5" footer="0.5"/>
  <pageSetup paperSize="1" scale="100" fitToWidth="1" fitToHeight="1" pageOrder="downThenOver" orientation="portrait" blackAndWhite="false" draft="false" cellComments="none" horizontalDpi="300" verticalDpi="300" copies="1"/>
  <headerFooter differentFirst="false" differentOddEven="false">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40"/>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5625" defaultRowHeight="12.75" zeroHeight="false" outlineLevelRow="0" outlineLevelCol="0"/>
  <cols>
    <col collapsed="false" customWidth="true" hidden="false" outlineLevel="0" max="1" min="1" style="16" width="6.44"/>
    <col collapsed="false" customWidth="true" hidden="false" outlineLevel="0" max="3" min="2" style="16" width="8.56"/>
    <col collapsed="false" customWidth="true" hidden="false" outlineLevel="0" max="4" min="4" style="16" width="13.56"/>
    <col collapsed="false" customWidth="true" hidden="false" outlineLevel="0" max="5" min="5" style="16" width="9.11"/>
    <col collapsed="false" customWidth="true" hidden="false" outlineLevel="0" max="6" min="6" style="16" width="0.88"/>
    <col collapsed="false" customWidth="true" hidden="false" outlineLevel="0" max="7" min="7" style="16" width="8.56"/>
    <col collapsed="false" customWidth="true" hidden="false" outlineLevel="0" max="8" min="8" style="16" width="0.88"/>
    <col collapsed="false" customWidth="true" hidden="false" outlineLevel="0" max="9" min="9" style="16" width="8.56"/>
    <col collapsed="false" customWidth="true" hidden="false" outlineLevel="0" max="10" min="10" style="16" width="0.88"/>
    <col collapsed="false" customWidth="true" hidden="false" outlineLevel="0" max="11" min="11" style="16" width="8.56"/>
    <col collapsed="false" customWidth="true" hidden="false" outlineLevel="0" max="12" min="12" style="16" width="1.44"/>
    <col collapsed="false" customWidth="true" hidden="false" outlineLevel="0" max="13" min="13" style="16" width="8.44"/>
    <col collapsed="false" customWidth="true" hidden="false" outlineLevel="0" max="15" min="14" style="16" width="8.56"/>
    <col collapsed="false" customWidth="false" hidden="false" outlineLevel="0" max="88" min="16" style="16" width="10.56"/>
    <col collapsed="false" customWidth="true" hidden="false" outlineLevel="0" max="89" min="89" style="16" width="6.44"/>
    <col collapsed="false" customWidth="true" hidden="false" outlineLevel="0" max="92" min="90" style="16" width="8.56"/>
    <col collapsed="false" customWidth="true" hidden="false" outlineLevel="0" max="93" min="93" style="16" width="9.11"/>
    <col collapsed="false" customWidth="true" hidden="false" outlineLevel="0" max="94" min="94" style="16" width="0.88"/>
    <col collapsed="false" customWidth="true" hidden="false" outlineLevel="0" max="95" min="95" style="16" width="8.56"/>
    <col collapsed="false" customWidth="true" hidden="false" outlineLevel="0" max="96" min="96" style="16" width="0.88"/>
    <col collapsed="false" customWidth="true" hidden="false" outlineLevel="0" max="97" min="97" style="16" width="8.56"/>
    <col collapsed="false" customWidth="true" hidden="false" outlineLevel="0" max="98" min="98" style="16" width="0.88"/>
    <col collapsed="false" customWidth="true" hidden="false" outlineLevel="0" max="100" min="99" style="16" width="8.56"/>
    <col collapsed="false" customWidth="true" hidden="false" outlineLevel="0" max="101" min="101" style="16" width="26.11"/>
    <col collapsed="false" customWidth="false" hidden="false" outlineLevel="0" max="344" min="102" style="16" width="10.56"/>
    <col collapsed="false" customWidth="true" hidden="false" outlineLevel="0" max="345" min="345" style="16" width="6.44"/>
    <col collapsed="false" customWidth="true" hidden="false" outlineLevel="0" max="348" min="346" style="16" width="8.56"/>
    <col collapsed="false" customWidth="true" hidden="false" outlineLevel="0" max="349" min="349" style="16" width="9.11"/>
    <col collapsed="false" customWidth="true" hidden="false" outlineLevel="0" max="350" min="350" style="16" width="0.88"/>
    <col collapsed="false" customWidth="true" hidden="false" outlineLevel="0" max="351" min="351" style="16" width="8.56"/>
    <col collapsed="false" customWidth="true" hidden="false" outlineLevel="0" max="352" min="352" style="16" width="0.88"/>
    <col collapsed="false" customWidth="true" hidden="false" outlineLevel="0" max="353" min="353" style="16" width="8.56"/>
    <col collapsed="false" customWidth="true" hidden="false" outlineLevel="0" max="354" min="354" style="16" width="0.88"/>
    <col collapsed="false" customWidth="true" hidden="false" outlineLevel="0" max="356" min="355" style="16" width="8.56"/>
    <col collapsed="false" customWidth="true" hidden="false" outlineLevel="0" max="357" min="357" style="16" width="26.11"/>
    <col collapsed="false" customWidth="false" hidden="false" outlineLevel="0" max="600" min="358" style="16" width="10.56"/>
    <col collapsed="false" customWidth="true" hidden="false" outlineLevel="0" max="601" min="601" style="16" width="6.44"/>
    <col collapsed="false" customWidth="true" hidden="false" outlineLevel="0" max="604" min="602" style="16" width="8.56"/>
    <col collapsed="false" customWidth="true" hidden="false" outlineLevel="0" max="605" min="605" style="16" width="9.11"/>
    <col collapsed="false" customWidth="true" hidden="false" outlineLevel="0" max="606" min="606" style="16" width="0.88"/>
    <col collapsed="false" customWidth="true" hidden="false" outlineLevel="0" max="607" min="607" style="16" width="8.56"/>
    <col collapsed="false" customWidth="true" hidden="false" outlineLevel="0" max="608" min="608" style="16" width="0.88"/>
    <col collapsed="false" customWidth="true" hidden="false" outlineLevel="0" max="609" min="609" style="16" width="8.56"/>
    <col collapsed="false" customWidth="true" hidden="false" outlineLevel="0" max="610" min="610" style="16" width="0.88"/>
    <col collapsed="false" customWidth="true" hidden="false" outlineLevel="0" max="612" min="611" style="16" width="8.56"/>
    <col collapsed="false" customWidth="true" hidden="false" outlineLevel="0" max="613" min="613" style="16" width="26.11"/>
    <col collapsed="false" customWidth="false" hidden="false" outlineLevel="0" max="856" min="614" style="16" width="10.56"/>
    <col collapsed="false" customWidth="true" hidden="false" outlineLevel="0" max="857" min="857" style="16" width="6.44"/>
    <col collapsed="false" customWidth="true" hidden="false" outlineLevel="0" max="860" min="858" style="16" width="8.56"/>
    <col collapsed="false" customWidth="true" hidden="false" outlineLevel="0" max="861" min="861" style="16" width="9.11"/>
    <col collapsed="false" customWidth="true" hidden="false" outlineLevel="0" max="862" min="862" style="16" width="0.88"/>
    <col collapsed="false" customWidth="true" hidden="false" outlineLevel="0" max="863" min="863" style="16" width="8.56"/>
    <col collapsed="false" customWidth="true" hidden="false" outlineLevel="0" max="864" min="864" style="16" width="0.88"/>
    <col collapsed="false" customWidth="true" hidden="false" outlineLevel="0" max="865" min="865" style="16" width="8.56"/>
    <col collapsed="false" customWidth="true" hidden="false" outlineLevel="0" max="866" min="866" style="16" width="0.88"/>
    <col collapsed="false" customWidth="true" hidden="false" outlineLevel="0" max="868" min="867" style="16" width="8.56"/>
    <col collapsed="false" customWidth="true" hidden="false" outlineLevel="0" max="869" min="869" style="16" width="26.11"/>
    <col collapsed="false" customWidth="false" hidden="false" outlineLevel="0" max="1112" min="870" style="16" width="10.56"/>
    <col collapsed="false" customWidth="true" hidden="false" outlineLevel="0" max="1113" min="1113" style="16" width="6.44"/>
    <col collapsed="false" customWidth="true" hidden="false" outlineLevel="0" max="1116" min="1114" style="16" width="8.56"/>
    <col collapsed="false" customWidth="true" hidden="false" outlineLevel="0" max="1117" min="1117" style="16" width="9.11"/>
    <col collapsed="false" customWidth="true" hidden="false" outlineLevel="0" max="1118" min="1118" style="16" width="0.88"/>
    <col collapsed="false" customWidth="true" hidden="false" outlineLevel="0" max="1119" min="1119" style="16" width="8.56"/>
    <col collapsed="false" customWidth="true" hidden="false" outlineLevel="0" max="1120" min="1120" style="16" width="0.88"/>
    <col collapsed="false" customWidth="true" hidden="false" outlineLevel="0" max="1121" min="1121" style="16" width="8.56"/>
    <col collapsed="false" customWidth="true" hidden="false" outlineLevel="0" max="1122" min="1122" style="16" width="0.88"/>
    <col collapsed="false" customWidth="true" hidden="false" outlineLevel="0" max="1124" min="1123" style="16" width="8.56"/>
    <col collapsed="false" customWidth="true" hidden="false" outlineLevel="0" max="1125" min="1125" style="16" width="26.11"/>
    <col collapsed="false" customWidth="false" hidden="false" outlineLevel="0" max="1368" min="1126" style="16" width="10.56"/>
    <col collapsed="false" customWidth="true" hidden="false" outlineLevel="0" max="1369" min="1369" style="16" width="6.44"/>
    <col collapsed="false" customWidth="true" hidden="false" outlineLevel="0" max="1372" min="1370" style="16" width="8.56"/>
    <col collapsed="false" customWidth="true" hidden="false" outlineLevel="0" max="1373" min="1373" style="16" width="9.11"/>
    <col collapsed="false" customWidth="true" hidden="false" outlineLevel="0" max="1374" min="1374" style="16" width="0.88"/>
    <col collapsed="false" customWidth="true" hidden="false" outlineLevel="0" max="1375" min="1375" style="16" width="8.56"/>
    <col collapsed="false" customWidth="true" hidden="false" outlineLevel="0" max="1376" min="1376" style="16" width="0.88"/>
    <col collapsed="false" customWidth="true" hidden="false" outlineLevel="0" max="1377" min="1377" style="16" width="8.56"/>
    <col collapsed="false" customWidth="true" hidden="false" outlineLevel="0" max="1378" min="1378" style="16" width="0.88"/>
    <col collapsed="false" customWidth="true" hidden="false" outlineLevel="0" max="1380" min="1379" style="16" width="8.56"/>
    <col collapsed="false" customWidth="true" hidden="false" outlineLevel="0" max="1381" min="1381" style="16" width="26.11"/>
    <col collapsed="false" customWidth="false" hidden="false" outlineLevel="0" max="1624" min="1382" style="16" width="10.56"/>
    <col collapsed="false" customWidth="true" hidden="false" outlineLevel="0" max="1625" min="1625" style="16" width="6.44"/>
    <col collapsed="false" customWidth="true" hidden="false" outlineLevel="0" max="1628" min="1626" style="16" width="8.56"/>
    <col collapsed="false" customWidth="true" hidden="false" outlineLevel="0" max="1629" min="1629" style="16" width="9.11"/>
    <col collapsed="false" customWidth="true" hidden="false" outlineLevel="0" max="1630" min="1630" style="16" width="0.88"/>
    <col collapsed="false" customWidth="true" hidden="false" outlineLevel="0" max="1631" min="1631" style="16" width="8.56"/>
    <col collapsed="false" customWidth="true" hidden="false" outlineLevel="0" max="1632" min="1632" style="16" width="0.88"/>
    <col collapsed="false" customWidth="true" hidden="false" outlineLevel="0" max="1633" min="1633" style="16" width="8.56"/>
    <col collapsed="false" customWidth="true" hidden="false" outlineLevel="0" max="1634" min="1634" style="16" width="0.88"/>
    <col collapsed="false" customWidth="true" hidden="false" outlineLevel="0" max="1636" min="1635" style="16" width="8.56"/>
    <col collapsed="false" customWidth="true" hidden="false" outlineLevel="0" max="1637" min="1637" style="16" width="26.11"/>
    <col collapsed="false" customWidth="false" hidden="false" outlineLevel="0" max="1880" min="1638" style="16" width="10.56"/>
    <col collapsed="false" customWidth="true" hidden="false" outlineLevel="0" max="1881" min="1881" style="16" width="6.44"/>
    <col collapsed="false" customWidth="true" hidden="false" outlineLevel="0" max="1884" min="1882" style="16" width="8.56"/>
    <col collapsed="false" customWidth="true" hidden="false" outlineLevel="0" max="1885" min="1885" style="16" width="9.11"/>
    <col collapsed="false" customWidth="true" hidden="false" outlineLevel="0" max="1886" min="1886" style="16" width="0.88"/>
    <col collapsed="false" customWidth="true" hidden="false" outlineLevel="0" max="1887" min="1887" style="16" width="8.56"/>
    <col collapsed="false" customWidth="true" hidden="false" outlineLevel="0" max="1888" min="1888" style="16" width="0.88"/>
    <col collapsed="false" customWidth="true" hidden="false" outlineLevel="0" max="1889" min="1889" style="16" width="8.56"/>
    <col collapsed="false" customWidth="true" hidden="false" outlineLevel="0" max="1890" min="1890" style="16" width="0.88"/>
    <col collapsed="false" customWidth="true" hidden="false" outlineLevel="0" max="1892" min="1891" style="16" width="8.56"/>
    <col collapsed="false" customWidth="true" hidden="false" outlineLevel="0" max="1893" min="1893" style="16" width="26.11"/>
    <col collapsed="false" customWidth="false" hidden="false" outlineLevel="0" max="2136" min="1894" style="16" width="10.56"/>
    <col collapsed="false" customWidth="true" hidden="false" outlineLevel="0" max="2137" min="2137" style="16" width="6.44"/>
    <col collapsed="false" customWidth="true" hidden="false" outlineLevel="0" max="2140" min="2138" style="16" width="8.56"/>
    <col collapsed="false" customWidth="true" hidden="false" outlineLevel="0" max="2141" min="2141" style="16" width="9.11"/>
    <col collapsed="false" customWidth="true" hidden="false" outlineLevel="0" max="2142" min="2142" style="16" width="0.88"/>
    <col collapsed="false" customWidth="true" hidden="false" outlineLevel="0" max="2143" min="2143" style="16" width="8.56"/>
    <col collapsed="false" customWidth="true" hidden="false" outlineLevel="0" max="2144" min="2144" style="16" width="0.88"/>
    <col collapsed="false" customWidth="true" hidden="false" outlineLevel="0" max="2145" min="2145" style="16" width="8.56"/>
    <col collapsed="false" customWidth="true" hidden="false" outlineLevel="0" max="2146" min="2146" style="16" width="0.88"/>
    <col collapsed="false" customWidth="true" hidden="false" outlineLevel="0" max="2148" min="2147" style="16" width="8.56"/>
    <col collapsed="false" customWidth="true" hidden="false" outlineLevel="0" max="2149" min="2149" style="16" width="26.11"/>
    <col collapsed="false" customWidth="false" hidden="false" outlineLevel="0" max="2392" min="2150" style="16" width="10.56"/>
    <col collapsed="false" customWidth="true" hidden="false" outlineLevel="0" max="2393" min="2393" style="16" width="6.44"/>
    <col collapsed="false" customWidth="true" hidden="false" outlineLevel="0" max="2396" min="2394" style="16" width="8.56"/>
    <col collapsed="false" customWidth="true" hidden="false" outlineLevel="0" max="2397" min="2397" style="16" width="9.11"/>
    <col collapsed="false" customWidth="true" hidden="false" outlineLevel="0" max="2398" min="2398" style="16" width="0.88"/>
    <col collapsed="false" customWidth="true" hidden="false" outlineLevel="0" max="2399" min="2399" style="16" width="8.56"/>
    <col collapsed="false" customWidth="true" hidden="false" outlineLevel="0" max="2400" min="2400" style="16" width="0.88"/>
    <col collapsed="false" customWidth="true" hidden="false" outlineLevel="0" max="2401" min="2401" style="16" width="8.56"/>
    <col collapsed="false" customWidth="true" hidden="false" outlineLevel="0" max="2402" min="2402" style="16" width="0.88"/>
    <col collapsed="false" customWidth="true" hidden="false" outlineLevel="0" max="2404" min="2403" style="16" width="8.56"/>
    <col collapsed="false" customWidth="true" hidden="false" outlineLevel="0" max="2405" min="2405" style="16" width="26.11"/>
    <col collapsed="false" customWidth="false" hidden="false" outlineLevel="0" max="2648" min="2406" style="16" width="10.56"/>
    <col collapsed="false" customWidth="true" hidden="false" outlineLevel="0" max="2649" min="2649" style="16" width="6.44"/>
    <col collapsed="false" customWidth="true" hidden="false" outlineLevel="0" max="2652" min="2650" style="16" width="8.56"/>
    <col collapsed="false" customWidth="true" hidden="false" outlineLevel="0" max="2653" min="2653" style="16" width="9.11"/>
    <col collapsed="false" customWidth="true" hidden="false" outlineLevel="0" max="2654" min="2654" style="16" width="0.88"/>
    <col collapsed="false" customWidth="true" hidden="false" outlineLevel="0" max="2655" min="2655" style="16" width="8.56"/>
    <col collapsed="false" customWidth="true" hidden="false" outlineLevel="0" max="2656" min="2656" style="16" width="0.88"/>
    <col collapsed="false" customWidth="true" hidden="false" outlineLevel="0" max="2657" min="2657" style="16" width="8.56"/>
    <col collapsed="false" customWidth="true" hidden="false" outlineLevel="0" max="2658" min="2658" style="16" width="0.88"/>
    <col collapsed="false" customWidth="true" hidden="false" outlineLevel="0" max="2660" min="2659" style="16" width="8.56"/>
    <col collapsed="false" customWidth="true" hidden="false" outlineLevel="0" max="2661" min="2661" style="16" width="26.11"/>
    <col collapsed="false" customWidth="false" hidden="false" outlineLevel="0" max="2904" min="2662" style="16" width="10.56"/>
    <col collapsed="false" customWidth="true" hidden="false" outlineLevel="0" max="2905" min="2905" style="16" width="6.44"/>
    <col collapsed="false" customWidth="true" hidden="false" outlineLevel="0" max="2908" min="2906" style="16" width="8.56"/>
    <col collapsed="false" customWidth="true" hidden="false" outlineLevel="0" max="2909" min="2909" style="16" width="9.11"/>
    <col collapsed="false" customWidth="true" hidden="false" outlineLevel="0" max="2910" min="2910" style="16" width="0.88"/>
    <col collapsed="false" customWidth="true" hidden="false" outlineLevel="0" max="2911" min="2911" style="16" width="8.56"/>
    <col collapsed="false" customWidth="true" hidden="false" outlineLevel="0" max="2912" min="2912" style="16" width="0.88"/>
    <col collapsed="false" customWidth="true" hidden="false" outlineLevel="0" max="2913" min="2913" style="16" width="8.56"/>
    <col collapsed="false" customWidth="true" hidden="false" outlineLevel="0" max="2914" min="2914" style="16" width="0.88"/>
    <col collapsed="false" customWidth="true" hidden="false" outlineLevel="0" max="2916" min="2915" style="16" width="8.56"/>
    <col collapsed="false" customWidth="true" hidden="false" outlineLevel="0" max="2917" min="2917" style="16" width="26.11"/>
    <col collapsed="false" customWidth="false" hidden="false" outlineLevel="0" max="3160" min="2918" style="16" width="10.56"/>
    <col collapsed="false" customWidth="true" hidden="false" outlineLevel="0" max="3161" min="3161" style="16" width="6.44"/>
    <col collapsed="false" customWidth="true" hidden="false" outlineLevel="0" max="3164" min="3162" style="16" width="8.56"/>
    <col collapsed="false" customWidth="true" hidden="false" outlineLevel="0" max="3165" min="3165" style="16" width="9.11"/>
    <col collapsed="false" customWidth="true" hidden="false" outlineLevel="0" max="3166" min="3166" style="16" width="0.88"/>
    <col collapsed="false" customWidth="true" hidden="false" outlineLevel="0" max="3167" min="3167" style="16" width="8.56"/>
    <col collapsed="false" customWidth="true" hidden="false" outlineLevel="0" max="3168" min="3168" style="16" width="0.88"/>
    <col collapsed="false" customWidth="true" hidden="false" outlineLevel="0" max="3169" min="3169" style="16" width="8.56"/>
    <col collapsed="false" customWidth="true" hidden="false" outlineLevel="0" max="3170" min="3170" style="16" width="0.88"/>
    <col collapsed="false" customWidth="true" hidden="false" outlineLevel="0" max="3172" min="3171" style="16" width="8.56"/>
    <col collapsed="false" customWidth="true" hidden="false" outlineLevel="0" max="3173" min="3173" style="16" width="26.11"/>
    <col collapsed="false" customWidth="false" hidden="false" outlineLevel="0" max="3416" min="3174" style="16" width="10.56"/>
    <col collapsed="false" customWidth="true" hidden="false" outlineLevel="0" max="3417" min="3417" style="16" width="6.44"/>
    <col collapsed="false" customWidth="true" hidden="false" outlineLevel="0" max="3420" min="3418" style="16" width="8.56"/>
    <col collapsed="false" customWidth="true" hidden="false" outlineLevel="0" max="3421" min="3421" style="16" width="9.11"/>
    <col collapsed="false" customWidth="true" hidden="false" outlineLevel="0" max="3422" min="3422" style="16" width="0.88"/>
    <col collapsed="false" customWidth="true" hidden="false" outlineLevel="0" max="3423" min="3423" style="16" width="8.56"/>
    <col collapsed="false" customWidth="true" hidden="false" outlineLevel="0" max="3424" min="3424" style="16" width="0.88"/>
    <col collapsed="false" customWidth="true" hidden="false" outlineLevel="0" max="3425" min="3425" style="16" width="8.56"/>
    <col collapsed="false" customWidth="true" hidden="false" outlineLevel="0" max="3426" min="3426" style="16" width="0.88"/>
    <col collapsed="false" customWidth="true" hidden="false" outlineLevel="0" max="3428" min="3427" style="16" width="8.56"/>
    <col collapsed="false" customWidth="true" hidden="false" outlineLevel="0" max="3429" min="3429" style="16" width="26.11"/>
    <col collapsed="false" customWidth="false" hidden="false" outlineLevel="0" max="3672" min="3430" style="16" width="10.56"/>
    <col collapsed="false" customWidth="true" hidden="false" outlineLevel="0" max="3673" min="3673" style="16" width="6.44"/>
    <col collapsed="false" customWidth="true" hidden="false" outlineLevel="0" max="3676" min="3674" style="16" width="8.56"/>
    <col collapsed="false" customWidth="true" hidden="false" outlineLevel="0" max="3677" min="3677" style="16" width="9.11"/>
    <col collapsed="false" customWidth="true" hidden="false" outlineLevel="0" max="3678" min="3678" style="16" width="0.88"/>
    <col collapsed="false" customWidth="true" hidden="false" outlineLevel="0" max="3679" min="3679" style="16" width="8.56"/>
    <col collapsed="false" customWidth="true" hidden="false" outlineLevel="0" max="3680" min="3680" style="16" width="0.88"/>
    <col collapsed="false" customWidth="true" hidden="false" outlineLevel="0" max="3681" min="3681" style="16" width="8.56"/>
    <col collapsed="false" customWidth="true" hidden="false" outlineLevel="0" max="3682" min="3682" style="16" width="0.88"/>
    <col collapsed="false" customWidth="true" hidden="false" outlineLevel="0" max="3684" min="3683" style="16" width="8.56"/>
    <col collapsed="false" customWidth="true" hidden="false" outlineLevel="0" max="3685" min="3685" style="16" width="26.11"/>
    <col collapsed="false" customWidth="false" hidden="false" outlineLevel="0" max="3928" min="3686" style="16" width="10.56"/>
    <col collapsed="false" customWidth="true" hidden="false" outlineLevel="0" max="3929" min="3929" style="16" width="6.44"/>
    <col collapsed="false" customWidth="true" hidden="false" outlineLevel="0" max="3932" min="3930" style="16" width="8.56"/>
    <col collapsed="false" customWidth="true" hidden="false" outlineLevel="0" max="3933" min="3933" style="16" width="9.11"/>
    <col collapsed="false" customWidth="true" hidden="false" outlineLevel="0" max="3934" min="3934" style="16" width="0.88"/>
    <col collapsed="false" customWidth="true" hidden="false" outlineLevel="0" max="3935" min="3935" style="16" width="8.56"/>
    <col collapsed="false" customWidth="true" hidden="false" outlineLevel="0" max="3936" min="3936" style="16" width="0.88"/>
    <col collapsed="false" customWidth="true" hidden="false" outlineLevel="0" max="3937" min="3937" style="16" width="8.56"/>
    <col collapsed="false" customWidth="true" hidden="false" outlineLevel="0" max="3938" min="3938" style="16" width="0.88"/>
    <col collapsed="false" customWidth="true" hidden="false" outlineLevel="0" max="3940" min="3939" style="16" width="8.56"/>
    <col collapsed="false" customWidth="true" hidden="false" outlineLevel="0" max="3941" min="3941" style="16" width="26.11"/>
    <col collapsed="false" customWidth="false" hidden="false" outlineLevel="0" max="4184" min="3942" style="16" width="10.56"/>
    <col collapsed="false" customWidth="true" hidden="false" outlineLevel="0" max="4185" min="4185" style="16" width="6.44"/>
    <col collapsed="false" customWidth="true" hidden="false" outlineLevel="0" max="4188" min="4186" style="16" width="8.56"/>
    <col collapsed="false" customWidth="true" hidden="false" outlineLevel="0" max="4189" min="4189" style="16" width="9.11"/>
    <col collapsed="false" customWidth="true" hidden="false" outlineLevel="0" max="4190" min="4190" style="16" width="0.88"/>
    <col collapsed="false" customWidth="true" hidden="false" outlineLevel="0" max="4191" min="4191" style="16" width="8.56"/>
    <col collapsed="false" customWidth="true" hidden="false" outlineLevel="0" max="4192" min="4192" style="16" width="0.88"/>
    <col collapsed="false" customWidth="true" hidden="false" outlineLevel="0" max="4193" min="4193" style="16" width="8.56"/>
    <col collapsed="false" customWidth="true" hidden="false" outlineLevel="0" max="4194" min="4194" style="16" width="0.88"/>
    <col collapsed="false" customWidth="true" hidden="false" outlineLevel="0" max="4196" min="4195" style="16" width="8.56"/>
    <col collapsed="false" customWidth="true" hidden="false" outlineLevel="0" max="4197" min="4197" style="16" width="26.11"/>
    <col collapsed="false" customWidth="false" hidden="false" outlineLevel="0" max="4440" min="4198" style="16" width="10.56"/>
    <col collapsed="false" customWidth="true" hidden="false" outlineLevel="0" max="4441" min="4441" style="16" width="6.44"/>
    <col collapsed="false" customWidth="true" hidden="false" outlineLevel="0" max="4444" min="4442" style="16" width="8.56"/>
    <col collapsed="false" customWidth="true" hidden="false" outlineLevel="0" max="4445" min="4445" style="16" width="9.11"/>
    <col collapsed="false" customWidth="true" hidden="false" outlineLevel="0" max="4446" min="4446" style="16" width="0.88"/>
    <col collapsed="false" customWidth="true" hidden="false" outlineLevel="0" max="4447" min="4447" style="16" width="8.56"/>
    <col collapsed="false" customWidth="true" hidden="false" outlineLevel="0" max="4448" min="4448" style="16" width="0.88"/>
    <col collapsed="false" customWidth="true" hidden="false" outlineLevel="0" max="4449" min="4449" style="16" width="8.56"/>
    <col collapsed="false" customWidth="true" hidden="false" outlineLevel="0" max="4450" min="4450" style="16" width="0.88"/>
    <col collapsed="false" customWidth="true" hidden="false" outlineLevel="0" max="4452" min="4451" style="16" width="8.56"/>
    <col collapsed="false" customWidth="true" hidden="false" outlineLevel="0" max="4453" min="4453" style="16" width="26.11"/>
    <col collapsed="false" customWidth="false" hidden="false" outlineLevel="0" max="4696" min="4454" style="16" width="10.56"/>
    <col collapsed="false" customWidth="true" hidden="false" outlineLevel="0" max="4697" min="4697" style="16" width="6.44"/>
    <col collapsed="false" customWidth="true" hidden="false" outlineLevel="0" max="4700" min="4698" style="16" width="8.56"/>
    <col collapsed="false" customWidth="true" hidden="false" outlineLevel="0" max="4701" min="4701" style="16" width="9.11"/>
    <col collapsed="false" customWidth="true" hidden="false" outlineLevel="0" max="4702" min="4702" style="16" width="0.88"/>
    <col collapsed="false" customWidth="true" hidden="false" outlineLevel="0" max="4703" min="4703" style="16" width="8.56"/>
    <col collapsed="false" customWidth="true" hidden="false" outlineLevel="0" max="4704" min="4704" style="16" width="0.88"/>
    <col collapsed="false" customWidth="true" hidden="false" outlineLevel="0" max="4705" min="4705" style="16" width="8.56"/>
    <col collapsed="false" customWidth="true" hidden="false" outlineLevel="0" max="4706" min="4706" style="16" width="0.88"/>
    <col collapsed="false" customWidth="true" hidden="false" outlineLevel="0" max="4708" min="4707" style="16" width="8.56"/>
    <col collapsed="false" customWidth="true" hidden="false" outlineLevel="0" max="4709" min="4709" style="16" width="26.11"/>
    <col collapsed="false" customWidth="false" hidden="false" outlineLevel="0" max="4952" min="4710" style="16" width="10.56"/>
    <col collapsed="false" customWidth="true" hidden="false" outlineLevel="0" max="4953" min="4953" style="16" width="6.44"/>
    <col collapsed="false" customWidth="true" hidden="false" outlineLevel="0" max="4956" min="4954" style="16" width="8.56"/>
    <col collapsed="false" customWidth="true" hidden="false" outlineLevel="0" max="4957" min="4957" style="16" width="9.11"/>
    <col collapsed="false" customWidth="true" hidden="false" outlineLevel="0" max="4958" min="4958" style="16" width="0.88"/>
    <col collapsed="false" customWidth="true" hidden="false" outlineLevel="0" max="4959" min="4959" style="16" width="8.56"/>
    <col collapsed="false" customWidth="true" hidden="false" outlineLevel="0" max="4960" min="4960" style="16" width="0.88"/>
    <col collapsed="false" customWidth="true" hidden="false" outlineLevel="0" max="4961" min="4961" style="16" width="8.56"/>
    <col collapsed="false" customWidth="true" hidden="false" outlineLevel="0" max="4962" min="4962" style="16" width="0.88"/>
    <col collapsed="false" customWidth="true" hidden="false" outlineLevel="0" max="4964" min="4963" style="16" width="8.56"/>
    <col collapsed="false" customWidth="true" hidden="false" outlineLevel="0" max="4965" min="4965" style="16" width="26.11"/>
    <col collapsed="false" customWidth="false" hidden="false" outlineLevel="0" max="5208" min="4966" style="16" width="10.56"/>
    <col collapsed="false" customWidth="true" hidden="false" outlineLevel="0" max="5209" min="5209" style="16" width="6.44"/>
    <col collapsed="false" customWidth="true" hidden="false" outlineLevel="0" max="5212" min="5210" style="16" width="8.56"/>
    <col collapsed="false" customWidth="true" hidden="false" outlineLevel="0" max="5213" min="5213" style="16" width="9.11"/>
    <col collapsed="false" customWidth="true" hidden="false" outlineLevel="0" max="5214" min="5214" style="16" width="0.88"/>
    <col collapsed="false" customWidth="true" hidden="false" outlineLevel="0" max="5215" min="5215" style="16" width="8.56"/>
    <col collapsed="false" customWidth="true" hidden="false" outlineLevel="0" max="5216" min="5216" style="16" width="0.88"/>
    <col collapsed="false" customWidth="true" hidden="false" outlineLevel="0" max="5217" min="5217" style="16" width="8.56"/>
    <col collapsed="false" customWidth="true" hidden="false" outlineLevel="0" max="5218" min="5218" style="16" width="0.88"/>
    <col collapsed="false" customWidth="true" hidden="false" outlineLevel="0" max="5220" min="5219" style="16" width="8.56"/>
    <col collapsed="false" customWidth="true" hidden="false" outlineLevel="0" max="5221" min="5221" style="16" width="26.11"/>
    <col collapsed="false" customWidth="false" hidden="false" outlineLevel="0" max="5464" min="5222" style="16" width="10.56"/>
    <col collapsed="false" customWidth="true" hidden="false" outlineLevel="0" max="5465" min="5465" style="16" width="6.44"/>
    <col collapsed="false" customWidth="true" hidden="false" outlineLevel="0" max="5468" min="5466" style="16" width="8.56"/>
    <col collapsed="false" customWidth="true" hidden="false" outlineLevel="0" max="5469" min="5469" style="16" width="9.11"/>
    <col collapsed="false" customWidth="true" hidden="false" outlineLevel="0" max="5470" min="5470" style="16" width="0.88"/>
    <col collapsed="false" customWidth="true" hidden="false" outlineLevel="0" max="5471" min="5471" style="16" width="8.56"/>
    <col collapsed="false" customWidth="true" hidden="false" outlineLevel="0" max="5472" min="5472" style="16" width="0.88"/>
    <col collapsed="false" customWidth="true" hidden="false" outlineLevel="0" max="5473" min="5473" style="16" width="8.56"/>
    <col collapsed="false" customWidth="true" hidden="false" outlineLevel="0" max="5474" min="5474" style="16" width="0.88"/>
    <col collapsed="false" customWidth="true" hidden="false" outlineLevel="0" max="5476" min="5475" style="16" width="8.56"/>
    <col collapsed="false" customWidth="true" hidden="false" outlineLevel="0" max="5477" min="5477" style="16" width="26.11"/>
    <col collapsed="false" customWidth="false" hidden="false" outlineLevel="0" max="5720" min="5478" style="16" width="10.56"/>
    <col collapsed="false" customWidth="true" hidden="false" outlineLevel="0" max="5721" min="5721" style="16" width="6.44"/>
    <col collapsed="false" customWidth="true" hidden="false" outlineLevel="0" max="5724" min="5722" style="16" width="8.56"/>
    <col collapsed="false" customWidth="true" hidden="false" outlineLevel="0" max="5725" min="5725" style="16" width="9.11"/>
    <col collapsed="false" customWidth="true" hidden="false" outlineLevel="0" max="5726" min="5726" style="16" width="0.88"/>
    <col collapsed="false" customWidth="true" hidden="false" outlineLevel="0" max="5727" min="5727" style="16" width="8.56"/>
    <col collapsed="false" customWidth="true" hidden="false" outlineLevel="0" max="5728" min="5728" style="16" width="0.88"/>
    <col collapsed="false" customWidth="true" hidden="false" outlineLevel="0" max="5729" min="5729" style="16" width="8.56"/>
    <col collapsed="false" customWidth="true" hidden="false" outlineLevel="0" max="5730" min="5730" style="16" width="0.88"/>
    <col collapsed="false" customWidth="true" hidden="false" outlineLevel="0" max="5732" min="5731" style="16" width="8.56"/>
    <col collapsed="false" customWidth="true" hidden="false" outlineLevel="0" max="5733" min="5733" style="16" width="26.11"/>
    <col collapsed="false" customWidth="false" hidden="false" outlineLevel="0" max="5976" min="5734" style="16" width="10.56"/>
    <col collapsed="false" customWidth="true" hidden="false" outlineLevel="0" max="5977" min="5977" style="16" width="6.44"/>
    <col collapsed="false" customWidth="true" hidden="false" outlineLevel="0" max="5980" min="5978" style="16" width="8.56"/>
    <col collapsed="false" customWidth="true" hidden="false" outlineLevel="0" max="5981" min="5981" style="16" width="9.11"/>
    <col collapsed="false" customWidth="true" hidden="false" outlineLevel="0" max="5982" min="5982" style="16" width="0.88"/>
    <col collapsed="false" customWidth="true" hidden="false" outlineLevel="0" max="5983" min="5983" style="16" width="8.56"/>
    <col collapsed="false" customWidth="true" hidden="false" outlineLevel="0" max="5984" min="5984" style="16" width="0.88"/>
    <col collapsed="false" customWidth="true" hidden="false" outlineLevel="0" max="5985" min="5985" style="16" width="8.56"/>
    <col collapsed="false" customWidth="true" hidden="false" outlineLevel="0" max="5986" min="5986" style="16" width="0.88"/>
    <col collapsed="false" customWidth="true" hidden="false" outlineLevel="0" max="5988" min="5987" style="16" width="8.56"/>
    <col collapsed="false" customWidth="true" hidden="false" outlineLevel="0" max="5989" min="5989" style="16" width="26.11"/>
    <col collapsed="false" customWidth="false" hidden="false" outlineLevel="0" max="6232" min="5990" style="16" width="10.56"/>
    <col collapsed="false" customWidth="true" hidden="false" outlineLevel="0" max="6233" min="6233" style="16" width="6.44"/>
    <col collapsed="false" customWidth="true" hidden="false" outlineLevel="0" max="6236" min="6234" style="16" width="8.56"/>
    <col collapsed="false" customWidth="true" hidden="false" outlineLevel="0" max="6237" min="6237" style="16" width="9.11"/>
    <col collapsed="false" customWidth="true" hidden="false" outlineLevel="0" max="6238" min="6238" style="16" width="0.88"/>
    <col collapsed="false" customWidth="true" hidden="false" outlineLevel="0" max="6239" min="6239" style="16" width="8.56"/>
    <col collapsed="false" customWidth="true" hidden="false" outlineLevel="0" max="6240" min="6240" style="16" width="0.88"/>
    <col collapsed="false" customWidth="true" hidden="false" outlineLevel="0" max="6241" min="6241" style="16" width="8.56"/>
    <col collapsed="false" customWidth="true" hidden="false" outlineLevel="0" max="6242" min="6242" style="16" width="0.88"/>
    <col collapsed="false" customWidth="true" hidden="false" outlineLevel="0" max="6244" min="6243" style="16" width="8.56"/>
    <col collapsed="false" customWidth="true" hidden="false" outlineLevel="0" max="6245" min="6245" style="16" width="26.11"/>
    <col collapsed="false" customWidth="false" hidden="false" outlineLevel="0" max="6488" min="6246" style="16" width="10.56"/>
    <col collapsed="false" customWidth="true" hidden="false" outlineLevel="0" max="6489" min="6489" style="16" width="6.44"/>
    <col collapsed="false" customWidth="true" hidden="false" outlineLevel="0" max="6492" min="6490" style="16" width="8.56"/>
    <col collapsed="false" customWidth="true" hidden="false" outlineLevel="0" max="6493" min="6493" style="16" width="9.11"/>
    <col collapsed="false" customWidth="true" hidden="false" outlineLevel="0" max="6494" min="6494" style="16" width="0.88"/>
    <col collapsed="false" customWidth="true" hidden="false" outlineLevel="0" max="6495" min="6495" style="16" width="8.56"/>
    <col collapsed="false" customWidth="true" hidden="false" outlineLevel="0" max="6496" min="6496" style="16" width="0.88"/>
    <col collapsed="false" customWidth="true" hidden="false" outlineLevel="0" max="6497" min="6497" style="16" width="8.56"/>
    <col collapsed="false" customWidth="true" hidden="false" outlineLevel="0" max="6498" min="6498" style="16" width="0.88"/>
    <col collapsed="false" customWidth="true" hidden="false" outlineLevel="0" max="6500" min="6499" style="16" width="8.56"/>
    <col collapsed="false" customWidth="true" hidden="false" outlineLevel="0" max="6501" min="6501" style="16" width="26.11"/>
    <col collapsed="false" customWidth="false" hidden="false" outlineLevel="0" max="6744" min="6502" style="16" width="10.56"/>
    <col collapsed="false" customWidth="true" hidden="false" outlineLevel="0" max="6745" min="6745" style="16" width="6.44"/>
    <col collapsed="false" customWidth="true" hidden="false" outlineLevel="0" max="6748" min="6746" style="16" width="8.56"/>
    <col collapsed="false" customWidth="true" hidden="false" outlineLevel="0" max="6749" min="6749" style="16" width="9.11"/>
    <col collapsed="false" customWidth="true" hidden="false" outlineLevel="0" max="6750" min="6750" style="16" width="0.88"/>
    <col collapsed="false" customWidth="true" hidden="false" outlineLevel="0" max="6751" min="6751" style="16" width="8.56"/>
    <col collapsed="false" customWidth="true" hidden="false" outlineLevel="0" max="6752" min="6752" style="16" width="0.88"/>
    <col collapsed="false" customWidth="true" hidden="false" outlineLevel="0" max="6753" min="6753" style="16" width="8.56"/>
    <col collapsed="false" customWidth="true" hidden="false" outlineLevel="0" max="6754" min="6754" style="16" width="0.88"/>
    <col collapsed="false" customWidth="true" hidden="false" outlineLevel="0" max="6756" min="6755" style="16" width="8.56"/>
    <col collapsed="false" customWidth="true" hidden="false" outlineLevel="0" max="6757" min="6757" style="16" width="26.11"/>
    <col collapsed="false" customWidth="false" hidden="false" outlineLevel="0" max="7000" min="6758" style="16" width="10.56"/>
    <col collapsed="false" customWidth="true" hidden="false" outlineLevel="0" max="7001" min="7001" style="16" width="6.44"/>
    <col collapsed="false" customWidth="true" hidden="false" outlineLevel="0" max="7004" min="7002" style="16" width="8.56"/>
    <col collapsed="false" customWidth="true" hidden="false" outlineLevel="0" max="7005" min="7005" style="16" width="9.11"/>
    <col collapsed="false" customWidth="true" hidden="false" outlineLevel="0" max="7006" min="7006" style="16" width="0.88"/>
    <col collapsed="false" customWidth="true" hidden="false" outlineLevel="0" max="7007" min="7007" style="16" width="8.56"/>
    <col collapsed="false" customWidth="true" hidden="false" outlineLevel="0" max="7008" min="7008" style="16" width="0.88"/>
    <col collapsed="false" customWidth="true" hidden="false" outlineLevel="0" max="7009" min="7009" style="16" width="8.56"/>
    <col collapsed="false" customWidth="true" hidden="false" outlineLevel="0" max="7010" min="7010" style="16" width="0.88"/>
    <col collapsed="false" customWidth="true" hidden="false" outlineLevel="0" max="7012" min="7011" style="16" width="8.56"/>
    <col collapsed="false" customWidth="true" hidden="false" outlineLevel="0" max="7013" min="7013" style="16" width="26.11"/>
    <col collapsed="false" customWidth="false" hidden="false" outlineLevel="0" max="7256" min="7014" style="16" width="10.56"/>
    <col collapsed="false" customWidth="true" hidden="false" outlineLevel="0" max="7257" min="7257" style="16" width="6.44"/>
    <col collapsed="false" customWidth="true" hidden="false" outlineLevel="0" max="7260" min="7258" style="16" width="8.56"/>
    <col collapsed="false" customWidth="true" hidden="false" outlineLevel="0" max="7261" min="7261" style="16" width="9.11"/>
    <col collapsed="false" customWidth="true" hidden="false" outlineLevel="0" max="7262" min="7262" style="16" width="0.88"/>
    <col collapsed="false" customWidth="true" hidden="false" outlineLevel="0" max="7263" min="7263" style="16" width="8.56"/>
    <col collapsed="false" customWidth="true" hidden="false" outlineLevel="0" max="7264" min="7264" style="16" width="0.88"/>
    <col collapsed="false" customWidth="true" hidden="false" outlineLevel="0" max="7265" min="7265" style="16" width="8.56"/>
    <col collapsed="false" customWidth="true" hidden="false" outlineLevel="0" max="7266" min="7266" style="16" width="0.88"/>
    <col collapsed="false" customWidth="true" hidden="false" outlineLevel="0" max="7268" min="7267" style="16" width="8.56"/>
    <col collapsed="false" customWidth="true" hidden="false" outlineLevel="0" max="7269" min="7269" style="16" width="26.11"/>
    <col collapsed="false" customWidth="false" hidden="false" outlineLevel="0" max="7512" min="7270" style="16" width="10.56"/>
    <col collapsed="false" customWidth="true" hidden="false" outlineLevel="0" max="7513" min="7513" style="16" width="6.44"/>
    <col collapsed="false" customWidth="true" hidden="false" outlineLevel="0" max="7516" min="7514" style="16" width="8.56"/>
    <col collapsed="false" customWidth="true" hidden="false" outlineLevel="0" max="7517" min="7517" style="16" width="9.11"/>
    <col collapsed="false" customWidth="true" hidden="false" outlineLevel="0" max="7518" min="7518" style="16" width="0.88"/>
    <col collapsed="false" customWidth="true" hidden="false" outlineLevel="0" max="7519" min="7519" style="16" width="8.56"/>
    <col collapsed="false" customWidth="true" hidden="false" outlineLevel="0" max="7520" min="7520" style="16" width="0.88"/>
    <col collapsed="false" customWidth="true" hidden="false" outlineLevel="0" max="7521" min="7521" style="16" width="8.56"/>
    <col collapsed="false" customWidth="true" hidden="false" outlineLevel="0" max="7522" min="7522" style="16" width="0.88"/>
    <col collapsed="false" customWidth="true" hidden="false" outlineLevel="0" max="7524" min="7523" style="16" width="8.56"/>
    <col collapsed="false" customWidth="true" hidden="false" outlineLevel="0" max="7525" min="7525" style="16" width="26.11"/>
    <col collapsed="false" customWidth="false" hidden="false" outlineLevel="0" max="7768" min="7526" style="16" width="10.56"/>
    <col collapsed="false" customWidth="true" hidden="false" outlineLevel="0" max="7769" min="7769" style="16" width="6.44"/>
    <col collapsed="false" customWidth="true" hidden="false" outlineLevel="0" max="7772" min="7770" style="16" width="8.56"/>
    <col collapsed="false" customWidth="true" hidden="false" outlineLevel="0" max="7773" min="7773" style="16" width="9.11"/>
    <col collapsed="false" customWidth="true" hidden="false" outlineLevel="0" max="7774" min="7774" style="16" width="0.88"/>
    <col collapsed="false" customWidth="true" hidden="false" outlineLevel="0" max="7775" min="7775" style="16" width="8.56"/>
    <col collapsed="false" customWidth="true" hidden="false" outlineLevel="0" max="7776" min="7776" style="16" width="0.88"/>
    <col collapsed="false" customWidth="true" hidden="false" outlineLevel="0" max="7777" min="7777" style="16" width="8.56"/>
    <col collapsed="false" customWidth="true" hidden="false" outlineLevel="0" max="7778" min="7778" style="16" width="0.88"/>
    <col collapsed="false" customWidth="true" hidden="false" outlineLevel="0" max="7780" min="7779" style="16" width="8.56"/>
    <col collapsed="false" customWidth="true" hidden="false" outlineLevel="0" max="7781" min="7781" style="16" width="26.11"/>
    <col collapsed="false" customWidth="false" hidden="false" outlineLevel="0" max="8024" min="7782" style="16" width="10.56"/>
    <col collapsed="false" customWidth="true" hidden="false" outlineLevel="0" max="8025" min="8025" style="16" width="6.44"/>
    <col collapsed="false" customWidth="true" hidden="false" outlineLevel="0" max="8028" min="8026" style="16" width="8.56"/>
    <col collapsed="false" customWidth="true" hidden="false" outlineLevel="0" max="8029" min="8029" style="16" width="9.11"/>
    <col collapsed="false" customWidth="true" hidden="false" outlineLevel="0" max="8030" min="8030" style="16" width="0.88"/>
    <col collapsed="false" customWidth="true" hidden="false" outlineLevel="0" max="8031" min="8031" style="16" width="8.56"/>
    <col collapsed="false" customWidth="true" hidden="false" outlineLevel="0" max="8032" min="8032" style="16" width="0.88"/>
    <col collapsed="false" customWidth="true" hidden="false" outlineLevel="0" max="8033" min="8033" style="16" width="8.56"/>
    <col collapsed="false" customWidth="true" hidden="false" outlineLevel="0" max="8034" min="8034" style="16" width="0.88"/>
    <col collapsed="false" customWidth="true" hidden="false" outlineLevel="0" max="8036" min="8035" style="16" width="8.56"/>
    <col collapsed="false" customWidth="true" hidden="false" outlineLevel="0" max="8037" min="8037" style="16" width="26.11"/>
    <col collapsed="false" customWidth="false" hidden="false" outlineLevel="0" max="8280" min="8038" style="16" width="10.56"/>
    <col collapsed="false" customWidth="true" hidden="false" outlineLevel="0" max="8281" min="8281" style="16" width="6.44"/>
    <col collapsed="false" customWidth="true" hidden="false" outlineLevel="0" max="8284" min="8282" style="16" width="8.56"/>
    <col collapsed="false" customWidth="true" hidden="false" outlineLevel="0" max="8285" min="8285" style="16" width="9.11"/>
    <col collapsed="false" customWidth="true" hidden="false" outlineLevel="0" max="8286" min="8286" style="16" width="0.88"/>
    <col collapsed="false" customWidth="true" hidden="false" outlineLevel="0" max="8287" min="8287" style="16" width="8.56"/>
    <col collapsed="false" customWidth="true" hidden="false" outlineLevel="0" max="8288" min="8288" style="16" width="0.88"/>
    <col collapsed="false" customWidth="true" hidden="false" outlineLevel="0" max="8289" min="8289" style="16" width="8.56"/>
    <col collapsed="false" customWidth="true" hidden="false" outlineLevel="0" max="8290" min="8290" style="16" width="0.88"/>
    <col collapsed="false" customWidth="true" hidden="false" outlineLevel="0" max="8292" min="8291" style="16" width="8.56"/>
    <col collapsed="false" customWidth="true" hidden="false" outlineLevel="0" max="8293" min="8293" style="16" width="26.11"/>
    <col collapsed="false" customWidth="false" hidden="false" outlineLevel="0" max="8536" min="8294" style="16" width="10.56"/>
    <col collapsed="false" customWidth="true" hidden="false" outlineLevel="0" max="8537" min="8537" style="16" width="6.44"/>
    <col collapsed="false" customWidth="true" hidden="false" outlineLevel="0" max="8540" min="8538" style="16" width="8.56"/>
    <col collapsed="false" customWidth="true" hidden="false" outlineLevel="0" max="8541" min="8541" style="16" width="9.11"/>
    <col collapsed="false" customWidth="true" hidden="false" outlineLevel="0" max="8542" min="8542" style="16" width="0.88"/>
    <col collapsed="false" customWidth="true" hidden="false" outlineLevel="0" max="8543" min="8543" style="16" width="8.56"/>
    <col collapsed="false" customWidth="true" hidden="false" outlineLevel="0" max="8544" min="8544" style="16" width="0.88"/>
    <col collapsed="false" customWidth="true" hidden="false" outlineLevel="0" max="8545" min="8545" style="16" width="8.56"/>
    <col collapsed="false" customWidth="true" hidden="false" outlineLevel="0" max="8546" min="8546" style="16" width="0.88"/>
    <col collapsed="false" customWidth="true" hidden="false" outlineLevel="0" max="8548" min="8547" style="16" width="8.56"/>
    <col collapsed="false" customWidth="true" hidden="false" outlineLevel="0" max="8549" min="8549" style="16" width="26.11"/>
    <col collapsed="false" customWidth="false" hidden="false" outlineLevel="0" max="8792" min="8550" style="16" width="10.56"/>
    <col collapsed="false" customWidth="true" hidden="false" outlineLevel="0" max="8793" min="8793" style="16" width="6.44"/>
    <col collapsed="false" customWidth="true" hidden="false" outlineLevel="0" max="8796" min="8794" style="16" width="8.56"/>
    <col collapsed="false" customWidth="true" hidden="false" outlineLevel="0" max="8797" min="8797" style="16" width="9.11"/>
    <col collapsed="false" customWidth="true" hidden="false" outlineLevel="0" max="8798" min="8798" style="16" width="0.88"/>
    <col collapsed="false" customWidth="true" hidden="false" outlineLevel="0" max="8799" min="8799" style="16" width="8.56"/>
    <col collapsed="false" customWidth="true" hidden="false" outlineLevel="0" max="8800" min="8800" style="16" width="0.88"/>
    <col collapsed="false" customWidth="true" hidden="false" outlineLevel="0" max="8801" min="8801" style="16" width="8.56"/>
    <col collapsed="false" customWidth="true" hidden="false" outlineLevel="0" max="8802" min="8802" style="16" width="0.88"/>
    <col collapsed="false" customWidth="true" hidden="false" outlineLevel="0" max="8804" min="8803" style="16" width="8.56"/>
    <col collapsed="false" customWidth="true" hidden="false" outlineLevel="0" max="8805" min="8805" style="16" width="26.11"/>
    <col collapsed="false" customWidth="false" hidden="false" outlineLevel="0" max="9048" min="8806" style="16" width="10.56"/>
    <col collapsed="false" customWidth="true" hidden="false" outlineLevel="0" max="9049" min="9049" style="16" width="6.44"/>
    <col collapsed="false" customWidth="true" hidden="false" outlineLevel="0" max="9052" min="9050" style="16" width="8.56"/>
    <col collapsed="false" customWidth="true" hidden="false" outlineLevel="0" max="9053" min="9053" style="16" width="9.11"/>
    <col collapsed="false" customWidth="true" hidden="false" outlineLevel="0" max="9054" min="9054" style="16" width="0.88"/>
    <col collapsed="false" customWidth="true" hidden="false" outlineLevel="0" max="9055" min="9055" style="16" width="8.56"/>
    <col collapsed="false" customWidth="true" hidden="false" outlineLevel="0" max="9056" min="9056" style="16" width="0.88"/>
    <col collapsed="false" customWidth="true" hidden="false" outlineLevel="0" max="9057" min="9057" style="16" width="8.56"/>
    <col collapsed="false" customWidth="true" hidden="false" outlineLevel="0" max="9058" min="9058" style="16" width="0.88"/>
    <col collapsed="false" customWidth="true" hidden="false" outlineLevel="0" max="9060" min="9059" style="16" width="8.56"/>
    <col collapsed="false" customWidth="true" hidden="false" outlineLevel="0" max="9061" min="9061" style="16" width="26.11"/>
    <col collapsed="false" customWidth="false" hidden="false" outlineLevel="0" max="9304" min="9062" style="16" width="10.56"/>
    <col collapsed="false" customWidth="true" hidden="false" outlineLevel="0" max="9305" min="9305" style="16" width="6.44"/>
    <col collapsed="false" customWidth="true" hidden="false" outlineLevel="0" max="9308" min="9306" style="16" width="8.56"/>
    <col collapsed="false" customWidth="true" hidden="false" outlineLevel="0" max="9309" min="9309" style="16" width="9.11"/>
    <col collapsed="false" customWidth="true" hidden="false" outlineLevel="0" max="9310" min="9310" style="16" width="0.88"/>
    <col collapsed="false" customWidth="true" hidden="false" outlineLevel="0" max="9311" min="9311" style="16" width="8.56"/>
    <col collapsed="false" customWidth="true" hidden="false" outlineLevel="0" max="9312" min="9312" style="16" width="0.88"/>
    <col collapsed="false" customWidth="true" hidden="false" outlineLevel="0" max="9313" min="9313" style="16" width="8.56"/>
    <col collapsed="false" customWidth="true" hidden="false" outlineLevel="0" max="9314" min="9314" style="16" width="0.88"/>
    <col collapsed="false" customWidth="true" hidden="false" outlineLevel="0" max="9316" min="9315" style="16" width="8.56"/>
    <col collapsed="false" customWidth="true" hidden="false" outlineLevel="0" max="9317" min="9317" style="16" width="26.11"/>
    <col collapsed="false" customWidth="false" hidden="false" outlineLevel="0" max="9560" min="9318" style="16" width="10.56"/>
    <col collapsed="false" customWidth="true" hidden="false" outlineLevel="0" max="9561" min="9561" style="16" width="6.44"/>
    <col collapsed="false" customWidth="true" hidden="false" outlineLevel="0" max="9564" min="9562" style="16" width="8.56"/>
    <col collapsed="false" customWidth="true" hidden="false" outlineLevel="0" max="9565" min="9565" style="16" width="9.11"/>
    <col collapsed="false" customWidth="true" hidden="false" outlineLevel="0" max="9566" min="9566" style="16" width="0.88"/>
    <col collapsed="false" customWidth="true" hidden="false" outlineLevel="0" max="9567" min="9567" style="16" width="8.56"/>
    <col collapsed="false" customWidth="true" hidden="false" outlineLevel="0" max="9568" min="9568" style="16" width="0.88"/>
    <col collapsed="false" customWidth="true" hidden="false" outlineLevel="0" max="9569" min="9569" style="16" width="8.56"/>
    <col collapsed="false" customWidth="true" hidden="false" outlineLevel="0" max="9570" min="9570" style="16" width="0.88"/>
    <col collapsed="false" customWidth="true" hidden="false" outlineLevel="0" max="9572" min="9571" style="16" width="8.56"/>
    <col collapsed="false" customWidth="true" hidden="false" outlineLevel="0" max="9573" min="9573" style="16" width="26.11"/>
    <col collapsed="false" customWidth="false" hidden="false" outlineLevel="0" max="9816" min="9574" style="16" width="10.56"/>
    <col collapsed="false" customWidth="true" hidden="false" outlineLevel="0" max="9817" min="9817" style="16" width="6.44"/>
    <col collapsed="false" customWidth="true" hidden="false" outlineLevel="0" max="9820" min="9818" style="16" width="8.56"/>
    <col collapsed="false" customWidth="true" hidden="false" outlineLevel="0" max="9821" min="9821" style="16" width="9.11"/>
    <col collapsed="false" customWidth="true" hidden="false" outlineLevel="0" max="9822" min="9822" style="16" width="0.88"/>
    <col collapsed="false" customWidth="true" hidden="false" outlineLevel="0" max="9823" min="9823" style="16" width="8.56"/>
    <col collapsed="false" customWidth="true" hidden="false" outlineLevel="0" max="9824" min="9824" style="16" width="0.88"/>
    <col collapsed="false" customWidth="true" hidden="false" outlineLevel="0" max="9825" min="9825" style="16" width="8.56"/>
    <col collapsed="false" customWidth="true" hidden="false" outlineLevel="0" max="9826" min="9826" style="16" width="0.88"/>
    <col collapsed="false" customWidth="true" hidden="false" outlineLevel="0" max="9828" min="9827" style="16" width="8.56"/>
    <col collapsed="false" customWidth="true" hidden="false" outlineLevel="0" max="9829" min="9829" style="16" width="26.11"/>
    <col collapsed="false" customWidth="false" hidden="false" outlineLevel="0" max="10072" min="9830" style="16" width="10.56"/>
    <col collapsed="false" customWidth="true" hidden="false" outlineLevel="0" max="10073" min="10073" style="16" width="6.44"/>
    <col collapsed="false" customWidth="true" hidden="false" outlineLevel="0" max="10076" min="10074" style="16" width="8.56"/>
    <col collapsed="false" customWidth="true" hidden="false" outlineLevel="0" max="10077" min="10077" style="16" width="9.11"/>
    <col collapsed="false" customWidth="true" hidden="false" outlineLevel="0" max="10078" min="10078" style="16" width="0.88"/>
    <col collapsed="false" customWidth="true" hidden="false" outlineLevel="0" max="10079" min="10079" style="16" width="8.56"/>
    <col collapsed="false" customWidth="true" hidden="false" outlineLevel="0" max="10080" min="10080" style="16" width="0.88"/>
    <col collapsed="false" customWidth="true" hidden="false" outlineLevel="0" max="10081" min="10081" style="16" width="8.56"/>
    <col collapsed="false" customWidth="true" hidden="false" outlineLevel="0" max="10082" min="10082" style="16" width="0.88"/>
    <col collapsed="false" customWidth="true" hidden="false" outlineLevel="0" max="10084" min="10083" style="16" width="8.56"/>
    <col collapsed="false" customWidth="true" hidden="false" outlineLevel="0" max="10085" min="10085" style="16" width="26.11"/>
    <col collapsed="false" customWidth="false" hidden="false" outlineLevel="0" max="10328" min="10086" style="16" width="10.56"/>
    <col collapsed="false" customWidth="true" hidden="false" outlineLevel="0" max="10329" min="10329" style="16" width="6.44"/>
    <col collapsed="false" customWidth="true" hidden="false" outlineLevel="0" max="10332" min="10330" style="16" width="8.56"/>
    <col collapsed="false" customWidth="true" hidden="false" outlineLevel="0" max="10333" min="10333" style="16" width="9.11"/>
    <col collapsed="false" customWidth="true" hidden="false" outlineLevel="0" max="10334" min="10334" style="16" width="0.88"/>
    <col collapsed="false" customWidth="true" hidden="false" outlineLevel="0" max="10335" min="10335" style="16" width="8.56"/>
    <col collapsed="false" customWidth="true" hidden="false" outlineLevel="0" max="10336" min="10336" style="16" width="0.88"/>
    <col collapsed="false" customWidth="true" hidden="false" outlineLevel="0" max="10337" min="10337" style="16" width="8.56"/>
    <col collapsed="false" customWidth="true" hidden="false" outlineLevel="0" max="10338" min="10338" style="16" width="0.88"/>
    <col collapsed="false" customWidth="true" hidden="false" outlineLevel="0" max="10340" min="10339" style="16" width="8.56"/>
    <col collapsed="false" customWidth="true" hidden="false" outlineLevel="0" max="10341" min="10341" style="16" width="26.11"/>
    <col collapsed="false" customWidth="false" hidden="false" outlineLevel="0" max="10584" min="10342" style="16" width="10.56"/>
    <col collapsed="false" customWidth="true" hidden="false" outlineLevel="0" max="10585" min="10585" style="16" width="6.44"/>
    <col collapsed="false" customWidth="true" hidden="false" outlineLevel="0" max="10588" min="10586" style="16" width="8.56"/>
    <col collapsed="false" customWidth="true" hidden="false" outlineLevel="0" max="10589" min="10589" style="16" width="9.11"/>
    <col collapsed="false" customWidth="true" hidden="false" outlineLevel="0" max="10590" min="10590" style="16" width="0.88"/>
    <col collapsed="false" customWidth="true" hidden="false" outlineLevel="0" max="10591" min="10591" style="16" width="8.56"/>
    <col collapsed="false" customWidth="true" hidden="false" outlineLevel="0" max="10592" min="10592" style="16" width="0.88"/>
    <col collapsed="false" customWidth="true" hidden="false" outlineLevel="0" max="10593" min="10593" style="16" width="8.56"/>
    <col collapsed="false" customWidth="true" hidden="false" outlineLevel="0" max="10594" min="10594" style="16" width="0.88"/>
    <col collapsed="false" customWidth="true" hidden="false" outlineLevel="0" max="10596" min="10595" style="16" width="8.56"/>
    <col collapsed="false" customWidth="true" hidden="false" outlineLevel="0" max="10597" min="10597" style="16" width="26.11"/>
    <col collapsed="false" customWidth="false" hidden="false" outlineLevel="0" max="10840" min="10598" style="16" width="10.56"/>
    <col collapsed="false" customWidth="true" hidden="false" outlineLevel="0" max="10841" min="10841" style="16" width="6.44"/>
    <col collapsed="false" customWidth="true" hidden="false" outlineLevel="0" max="10844" min="10842" style="16" width="8.56"/>
    <col collapsed="false" customWidth="true" hidden="false" outlineLevel="0" max="10845" min="10845" style="16" width="9.11"/>
    <col collapsed="false" customWidth="true" hidden="false" outlineLevel="0" max="10846" min="10846" style="16" width="0.88"/>
    <col collapsed="false" customWidth="true" hidden="false" outlineLevel="0" max="10847" min="10847" style="16" width="8.56"/>
    <col collapsed="false" customWidth="true" hidden="false" outlineLevel="0" max="10848" min="10848" style="16" width="0.88"/>
    <col collapsed="false" customWidth="true" hidden="false" outlineLevel="0" max="10849" min="10849" style="16" width="8.56"/>
    <col collapsed="false" customWidth="true" hidden="false" outlineLevel="0" max="10850" min="10850" style="16" width="0.88"/>
    <col collapsed="false" customWidth="true" hidden="false" outlineLevel="0" max="10852" min="10851" style="16" width="8.56"/>
    <col collapsed="false" customWidth="true" hidden="false" outlineLevel="0" max="10853" min="10853" style="16" width="26.11"/>
    <col collapsed="false" customWidth="false" hidden="false" outlineLevel="0" max="11096" min="10854" style="16" width="10.56"/>
    <col collapsed="false" customWidth="true" hidden="false" outlineLevel="0" max="11097" min="11097" style="16" width="6.44"/>
    <col collapsed="false" customWidth="true" hidden="false" outlineLevel="0" max="11100" min="11098" style="16" width="8.56"/>
    <col collapsed="false" customWidth="true" hidden="false" outlineLevel="0" max="11101" min="11101" style="16" width="9.11"/>
    <col collapsed="false" customWidth="true" hidden="false" outlineLevel="0" max="11102" min="11102" style="16" width="0.88"/>
    <col collapsed="false" customWidth="true" hidden="false" outlineLevel="0" max="11103" min="11103" style="16" width="8.56"/>
    <col collapsed="false" customWidth="true" hidden="false" outlineLevel="0" max="11104" min="11104" style="16" width="0.88"/>
    <col collapsed="false" customWidth="true" hidden="false" outlineLevel="0" max="11105" min="11105" style="16" width="8.56"/>
    <col collapsed="false" customWidth="true" hidden="false" outlineLevel="0" max="11106" min="11106" style="16" width="0.88"/>
    <col collapsed="false" customWidth="true" hidden="false" outlineLevel="0" max="11108" min="11107" style="16" width="8.56"/>
    <col collapsed="false" customWidth="true" hidden="false" outlineLevel="0" max="11109" min="11109" style="16" width="26.11"/>
    <col collapsed="false" customWidth="false" hidden="false" outlineLevel="0" max="11352" min="11110" style="16" width="10.56"/>
    <col collapsed="false" customWidth="true" hidden="false" outlineLevel="0" max="11353" min="11353" style="16" width="6.44"/>
    <col collapsed="false" customWidth="true" hidden="false" outlineLevel="0" max="11356" min="11354" style="16" width="8.56"/>
    <col collapsed="false" customWidth="true" hidden="false" outlineLevel="0" max="11357" min="11357" style="16" width="9.11"/>
    <col collapsed="false" customWidth="true" hidden="false" outlineLevel="0" max="11358" min="11358" style="16" width="0.88"/>
    <col collapsed="false" customWidth="true" hidden="false" outlineLevel="0" max="11359" min="11359" style="16" width="8.56"/>
    <col collapsed="false" customWidth="true" hidden="false" outlineLevel="0" max="11360" min="11360" style="16" width="0.88"/>
    <col collapsed="false" customWidth="true" hidden="false" outlineLevel="0" max="11361" min="11361" style="16" width="8.56"/>
    <col collapsed="false" customWidth="true" hidden="false" outlineLevel="0" max="11362" min="11362" style="16" width="0.88"/>
    <col collapsed="false" customWidth="true" hidden="false" outlineLevel="0" max="11364" min="11363" style="16" width="8.56"/>
    <col collapsed="false" customWidth="true" hidden="false" outlineLevel="0" max="11365" min="11365" style="16" width="26.11"/>
    <col collapsed="false" customWidth="false" hidden="false" outlineLevel="0" max="11608" min="11366" style="16" width="10.56"/>
    <col collapsed="false" customWidth="true" hidden="false" outlineLevel="0" max="11609" min="11609" style="16" width="6.44"/>
    <col collapsed="false" customWidth="true" hidden="false" outlineLevel="0" max="11612" min="11610" style="16" width="8.56"/>
    <col collapsed="false" customWidth="true" hidden="false" outlineLevel="0" max="11613" min="11613" style="16" width="9.11"/>
    <col collapsed="false" customWidth="true" hidden="false" outlineLevel="0" max="11614" min="11614" style="16" width="0.88"/>
    <col collapsed="false" customWidth="true" hidden="false" outlineLevel="0" max="11615" min="11615" style="16" width="8.56"/>
    <col collapsed="false" customWidth="true" hidden="false" outlineLevel="0" max="11616" min="11616" style="16" width="0.88"/>
    <col collapsed="false" customWidth="true" hidden="false" outlineLevel="0" max="11617" min="11617" style="16" width="8.56"/>
    <col collapsed="false" customWidth="true" hidden="false" outlineLevel="0" max="11618" min="11618" style="16" width="0.88"/>
    <col collapsed="false" customWidth="true" hidden="false" outlineLevel="0" max="11620" min="11619" style="16" width="8.56"/>
    <col collapsed="false" customWidth="true" hidden="false" outlineLevel="0" max="11621" min="11621" style="16" width="26.11"/>
    <col collapsed="false" customWidth="false" hidden="false" outlineLevel="0" max="11864" min="11622" style="16" width="10.56"/>
    <col collapsed="false" customWidth="true" hidden="false" outlineLevel="0" max="11865" min="11865" style="16" width="6.44"/>
    <col collapsed="false" customWidth="true" hidden="false" outlineLevel="0" max="11868" min="11866" style="16" width="8.56"/>
    <col collapsed="false" customWidth="true" hidden="false" outlineLevel="0" max="11869" min="11869" style="16" width="9.11"/>
    <col collapsed="false" customWidth="true" hidden="false" outlineLevel="0" max="11870" min="11870" style="16" width="0.88"/>
    <col collapsed="false" customWidth="true" hidden="false" outlineLevel="0" max="11871" min="11871" style="16" width="8.56"/>
    <col collapsed="false" customWidth="true" hidden="false" outlineLevel="0" max="11872" min="11872" style="16" width="0.88"/>
    <col collapsed="false" customWidth="true" hidden="false" outlineLevel="0" max="11873" min="11873" style="16" width="8.56"/>
    <col collapsed="false" customWidth="true" hidden="false" outlineLevel="0" max="11874" min="11874" style="16" width="0.88"/>
    <col collapsed="false" customWidth="true" hidden="false" outlineLevel="0" max="11876" min="11875" style="16" width="8.56"/>
    <col collapsed="false" customWidth="true" hidden="false" outlineLevel="0" max="11877" min="11877" style="16" width="26.11"/>
    <col collapsed="false" customWidth="false" hidden="false" outlineLevel="0" max="12120" min="11878" style="16" width="10.56"/>
    <col collapsed="false" customWidth="true" hidden="false" outlineLevel="0" max="12121" min="12121" style="16" width="6.44"/>
    <col collapsed="false" customWidth="true" hidden="false" outlineLevel="0" max="12124" min="12122" style="16" width="8.56"/>
    <col collapsed="false" customWidth="true" hidden="false" outlineLevel="0" max="12125" min="12125" style="16" width="9.11"/>
    <col collapsed="false" customWidth="true" hidden="false" outlineLevel="0" max="12126" min="12126" style="16" width="0.88"/>
    <col collapsed="false" customWidth="true" hidden="false" outlineLevel="0" max="12127" min="12127" style="16" width="8.56"/>
    <col collapsed="false" customWidth="true" hidden="false" outlineLevel="0" max="12128" min="12128" style="16" width="0.88"/>
    <col collapsed="false" customWidth="true" hidden="false" outlineLevel="0" max="12129" min="12129" style="16" width="8.56"/>
    <col collapsed="false" customWidth="true" hidden="false" outlineLevel="0" max="12130" min="12130" style="16" width="0.88"/>
    <col collapsed="false" customWidth="true" hidden="false" outlineLevel="0" max="12132" min="12131" style="16" width="8.56"/>
    <col collapsed="false" customWidth="true" hidden="false" outlineLevel="0" max="12133" min="12133" style="16" width="26.11"/>
    <col collapsed="false" customWidth="false" hidden="false" outlineLevel="0" max="12376" min="12134" style="16" width="10.56"/>
    <col collapsed="false" customWidth="true" hidden="false" outlineLevel="0" max="12377" min="12377" style="16" width="6.44"/>
    <col collapsed="false" customWidth="true" hidden="false" outlineLevel="0" max="12380" min="12378" style="16" width="8.56"/>
    <col collapsed="false" customWidth="true" hidden="false" outlineLevel="0" max="12381" min="12381" style="16" width="9.11"/>
    <col collapsed="false" customWidth="true" hidden="false" outlineLevel="0" max="12382" min="12382" style="16" width="0.88"/>
    <col collapsed="false" customWidth="true" hidden="false" outlineLevel="0" max="12383" min="12383" style="16" width="8.56"/>
    <col collapsed="false" customWidth="true" hidden="false" outlineLevel="0" max="12384" min="12384" style="16" width="0.88"/>
    <col collapsed="false" customWidth="true" hidden="false" outlineLevel="0" max="12385" min="12385" style="16" width="8.56"/>
    <col collapsed="false" customWidth="true" hidden="false" outlineLevel="0" max="12386" min="12386" style="16" width="0.88"/>
    <col collapsed="false" customWidth="true" hidden="false" outlineLevel="0" max="12388" min="12387" style="16" width="8.56"/>
    <col collapsed="false" customWidth="true" hidden="false" outlineLevel="0" max="12389" min="12389" style="16" width="26.11"/>
    <col collapsed="false" customWidth="false" hidden="false" outlineLevel="0" max="12632" min="12390" style="16" width="10.56"/>
    <col collapsed="false" customWidth="true" hidden="false" outlineLevel="0" max="12633" min="12633" style="16" width="6.44"/>
    <col collapsed="false" customWidth="true" hidden="false" outlineLevel="0" max="12636" min="12634" style="16" width="8.56"/>
    <col collapsed="false" customWidth="true" hidden="false" outlineLevel="0" max="12637" min="12637" style="16" width="9.11"/>
    <col collapsed="false" customWidth="true" hidden="false" outlineLevel="0" max="12638" min="12638" style="16" width="0.88"/>
    <col collapsed="false" customWidth="true" hidden="false" outlineLevel="0" max="12639" min="12639" style="16" width="8.56"/>
    <col collapsed="false" customWidth="true" hidden="false" outlineLevel="0" max="12640" min="12640" style="16" width="0.88"/>
    <col collapsed="false" customWidth="true" hidden="false" outlineLevel="0" max="12641" min="12641" style="16" width="8.56"/>
    <col collapsed="false" customWidth="true" hidden="false" outlineLevel="0" max="12642" min="12642" style="16" width="0.88"/>
    <col collapsed="false" customWidth="true" hidden="false" outlineLevel="0" max="12644" min="12643" style="16" width="8.56"/>
    <col collapsed="false" customWidth="true" hidden="false" outlineLevel="0" max="12645" min="12645" style="16" width="26.11"/>
    <col collapsed="false" customWidth="false" hidden="false" outlineLevel="0" max="12888" min="12646" style="16" width="10.56"/>
    <col collapsed="false" customWidth="true" hidden="false" outlineLevel="0" max="12889" min="12889" style="16" width="6.44"/>
    <col collapsed="false" customWidth="true" hidden="false" outlineLevel="0" max="12892" min="12890" style="16" width="8.56"/>
    <col collapsed="false" customWidth="true" hidden="false" outlineLevel="0" max="12893" min="12893" style="16" width="9.11"/>
    <col collapsed="false" customWidth="true" hidden="false" outlineLevel="0" max="12894" min="12894" style="16" width="0.88"/>
    <col collapsed="false" customWidth="true" hidden="false" outlineLevel="0" max="12895" min="12895" style="16" width="8.56"/>
    <col collapsed="false" customWidth="true" hidden="false" outlineLevel="0" max="12896" min="12896" style="16" width="0.88"/>
    <col collapsed="false" customWidth="true" hidden="false" outlineLevel="0" max="12897" min="12897" style="16" width="8.56"/>
    <col collapsed="false" customWidth="true" hidden="false" outlineLevel="0" max="12898" min="12898" style="16" width="0.88"/>
    <col collapsed="false" customWidth="true" hidden="false" outlineLevel="0" max="12900" min="12899" style="16" width="8.56"/>
    <col collapsed="false" customWidth="true" hidden="false" outlineLevel="0" max="12901" min="12901" style="16" width="26.11"/>
    <col collapsed="false" customWidth="false" hidden="false" outlineLevel="0" max="13144" min="12902" style="16" width="10.56"/>
    <col collapsed="false" customWidth="true" hidden="false" outlineLevel="0" max="13145" min="13145" style="16" width="6.44"/>
    <col collapsed="false" customWidth="true" hidden="false" outlineLevel="0" max="13148" min="13146" style="16" width="8.56"/>
    <col collapsed="false" customWidth="true" hidden="false" outlineLevel="0" max="13149" min="13149" style="16" width="9.11"/>
    <col collapsed="false" customWidth="true" hidden="false" outlineLevel="0" max="13150" min="13150" style="16" width="0.88"/>
    <col collapsed="false" customWidth="true" hidden="false" outlineLevel="0" max="13151" min="13151" style="16" width="8.56"/>
    <col collapsed="false" customWidth="true" hidden="false" outlineLevel="0" max="13152" min="13152" style="16" width="0.88"/>
    <col collapsed="false" customWidth="true" hidden="false" outlineLevel="0" max="13153" min="13153" style="16" width="8.56"/>
    <col collapsed="false" customWidth="true" hidden="false" outlineLevel="0" max="13154" min="13154" style="16" width="0.88"/>
    <col collapsed="false" customWidth="true" hidden="false" outlineLevel="0" max="13156" min="13155" style="16" width="8.56"/>
    <col collapsed="false" customWidth="true" hidden="false" outlineLevel="0" max="13157" min="13157" style="16" width="26.11"/>
    <col collapsed="false" customWidth="false" hidden="false" outlineLevel="0" max="13400" min="13158" style="16" width="10.56"/>
    <col collapsed="false" customWidth="true" hidden="false" outlineLevel="0" max="13401" min="13401" style="16" width="6.44"/>
    <col collapsed="false" customWidth="true" hidden="false" outlineLevel="0" max="13404" min="13402" style="16" width="8.56"/>
    <col collapsed="false" customWidth="true" hidden="false" outlineLevel="0" max="13405" min="13405" style="16" width="9.11"/>
    <col collapsed="false" customWidth="true" hidden="false" outlineLevel="0" max="13406" min="13406" style="16" width="0.88"/>
    <col collapsed="false" customWidth="true" hidden="false" outlineLevel="0" max="13407" min="13407" style="16" width="8.56"/>
    <col collapsed="false" customWidth="true" hidden="false" outlineLevel="0" max="13408" min="13408" style="16" width="0.88"/>
    <col collapsed="false" customWidth="true" hidden="false" outlineLevel="0" max="13409" min="13409" style="16" width="8.56"/>
    <col collapsed="false" customWidth="true" hidden="false" outlineLevel="0" max="13410" min="13410" style="16" width="0.88"/>
    <col collapsed="false" customWidth="true" hidden="false" outlineLevel="0" max="13412" min="13411" style="16" width="8.56"/>
    <col collapsed="false" customWidth="true" hidden="false" outlineLevel="0" max="13413" min="13413" style="16" width="26.11"/>
    <col collapsed="false" customWidth="false" hidden="false" outlineLevel="0" max="13656" min="13414" style="16" width="10.56"/>
    <col collapsed="false" customWidth="true" hidden="false" outlineLevel="0" max="13657" min="13657" style="16" width="6.44"/>
    <col collapsed="false" customWidth="true" hidden="false" outlineLevel="0" max="13660" min="13658" style="16" width="8.56"/>
    <col collapsed="false" customWidth="true" hidden="false" outlineLevel="0" max="13661" min="13661" style="16" width="9.11"/>
    <col collapsed="false" customWidth="true" hidden="false" outlineLevel="0" max="13662" min="13662" style="16" width="0.88"/>
    <col collapsed="false" customWidth="true" hidden="false" outlineLevel="0" max="13663" min="13663" style="16" width="8.56"/>
    <col collapsed="false" customWidth="true" hidden="false" outlineLevel="0" max="13664" min="13664" style="16" width="0.88"/>
    <col collapsed="false" customWidth="true" hidden="false" outlineLevel="0" max="13665" min="13665" style="16" width="8.56"/>
    <col collapsed="false" customWidth="true" hidden="false" outlineLevel="0" max="13666" min="13666" style="16" width="0.88"/>
    <col collapsed="false" customWidth="true" hidden="false" outlineLevel="0" max="13668" min="13667" style="16" width="8.56"/>
    <col collapsed="false" customWidth="true" hidden="false" outlineLevel="0" max="13669" min="13669" style="16" width="26.11"/>
    <col collapsed="false" customWidth="false" hidden="false" outlineLevel="0" max="13912" min="13670" style="16" width="10.56"/>
    <col collapsed="false" customWidth="true" hidden="false" outlineLevel="0" max="13913" min="13913" style="16" width="6.44"/>
    <col collapsed="false" customWidth="true" hidden="false" outlineLevel="0" max="13916" min="13914" style="16" width="8.56"/>
    <col collapsed="false" customWidth="true" hidden="false" outlineLevel="0" max="13917" min="13917" style="16" width="9.11"/>
    <col collapsed="false" customWidth="true" hidden="false" outlineLevel="0" max="13918" min="13918" style="16" width="0.88"/>
    <col collapsed="false" customWidth="true" hidden="false" outlineLevel="0" max="13919" min="13919" style="16" width="8.56"/>
    <col collapsed="false" customWidth="true" hidden="false" outlineLevel="0" max="13920" min="13920" style="16" width="0.88"/>
    <col collapsed="false" customWidth="true" hidden="false" outlineLevel="0" max="13921" min="13921" style="16" width="8.56"/>
    <col collapsed="false" customWidth="true" hidden="false" outlineLevel="0" max="13922" min="13922" style="16" width="0.88"/>
    <col collapsed="false" customWidth="true" hidden="false" outlineLevel="0" max="13924" min="13923" style="16" width="8.56"/>
    <col collapsed="false" customWidth="true" hidden="false" outlineLevel="0" max="13925" min="13925" style="16" width="26.11"/>
    <col collapsed="false" customWidth="false" hidden="false" outlineLevel="0" max="14168" min="13926" style="16" width="10.56"/>
    <col collapsed="false" customWidth="true" hidden="false" outlineLevel="0" max="14169" min="14169" style="16" width="6.44"/>
    <col collapsed="false" customWidth="true" hidden="false" outlineLevel="0" max="14172" min="14170" style="16" width="8.56"/>
    <col collapsed="false" customWidth="true" hidden="false" outlineLevel="0" max="14173" min="14173" style="16" width="9.11"/>
    <col collapsed="false" customWidth="true" hidden="false" outlineLevel="0" max="14174" min="14174" style="16" width="0.88"/>
    <col collapsed="false" customWidth="true" hidden="false" outlineLevel="0" max="14175" min="14175" style="16" width="8.56"/>
    <col collapsed="false" customWidth="true" hidden="false" outlineLevel="0" max="14176" min="14176" style="16" width="0.88"/>
    <col collapsed="false" customWidth="true" hidden="false" outlineLevel="0" max="14177" min="14177" style="16" width="8.56"/>
    <col collapsed="false" customWidth="true" hidden="false" outlineLevel="0" max="14178" min="14178" style="16" width="0.88"/>
    <col collapsed="false" customWidth="true" hidden="false" outlineLevel="0" max="14180" min="14179" style="16" width="8.56"/>
    <col collapsed="false" customWidth="true" hidden="false" outlineLevel="0" max="14181" min="14181" style="16" width="26.11"/>
    <col collapsed="false" customWidth="false" hidden="false" outlineLevel="0" max="14424" min="14182" style="16" width="10.56"/>
    <col collapsed="false" customWidth="true" hidden="false" outlineLevel="0" max="14425" min="14425" style="16" width="6.44"/>
    <col collapsed="false" customWidth="true" hidden="false" outlineLevel="0" max="14428" min="14426" style="16" width="8.56"/>
    <col collapsed="false" customWidth="true" hidden="false" outlineLevel="0" max="14429" min="14429" style="16" width="9.11"/>
    <col collapsed="false" customWidth="true" hidden="false" outlineLevel="0" max="14430" min="14430" style="16" width="0.88"/>
    <col collapsed="false" customWidth="true" hidden="false" outlineLevel="0" max="14431" min="14431" style="16" width="8.56"/>
    <col collapsed="false" customWidth="true" hidden="false" outlineLevel="0" max="14432" min="14432" style="16" width="0.88"/>
    <col collapsed="false" customWidth="true" hidden="false" outlineLevel="0" max="14433" min="14433" style="16" width="8.56"/>
    <col collapsed="false" customWidth="true" hidden="false" outlineLevel="0" max="14434" min="14434" style="16" width="0.88"/>
    <col collapsed="false" customWidth="true" hidden="false" outlineLevel="0" max="14436" min="14435" style="16" width="8.56"/>
    <col collapsed="false" customWidth="true" hidden="false" outlineLevel="0" max="14437" min="14437" style="16" width="26.11"/>
    <col collapsed="false" customWidth="false" hidden="false" outlineLevel="0" max="14680" min="14438" style="16" width="10.56"/>
    <col collapsed="false" customWidth="true" hidden="false" outlineLevel="0" max="14681" min="14681" style="16" width="6.44"/>
    <col collapsed="false" customWidth="true" hidden="false" outlineLevel="0" max="14684" min="14682" style="16" width="8.56"/>
    <col collapsed="false" customWidth="true" hidden="false" outlineLevel="0" max="14685" min="14685" style="16" width="9.11"/>
    <col collapsed="false" customWidth="true" hidden="false" outlineLevel="0" max="14686" min="14686" style="16" width="0.88"/>
    <col collapsed="false" customWidth="true" hidden="false" outlineLevel="0" max="14687" min="14687" style="16" width="8.56"/>
    <col collapsed="false" customWidth="true" hidden="false" outlineLevel="0" max="14688" min="14688" style="16" width="0.88"/>
    <col collapsed="false" customWidth="true" hidden="false" outlineLevel="0" max="14689" min="14689" style="16" width="8.56"/>
    <col collapsed="false" customWidth="true" hidden="false" outlineLevel="0" max="14690" min="14690" style="16" width="0.88"/>
    <col collapsed="false" customWidth="true" hidden="false" outlineLevel="0" max="14692" min="14691" style="16" width="8.56"/>
    <col collapsed="false" customWidth="true" hidden="false" outlineLevel="0" max="14693" min="14693" style="16" width="26.11"/>
    <col collapsed="false" customWidth="false" hidden="false" outlineLevel="0" max="14936" min="14694" style="16" width="10.56"/>
    <col collapsed="false" customWidth="true" hidden="false" outlineLevel="0" max="14937" min="14937" style="16" width="6.44"/>
    <col collapsed="false" customWidth="true" hidden="false" outlineLevel="0" max="14940" min="14938" style="16" width="8.56"/>
    <col collapsed="false" customWidth="true" hidden="false" outlineLevel="0" max="14941" min="14941" style="16" width="9.11"/>
    <col collapsed="false" customWidth="true" hidden="false" outlineLevel="0" max="14942" min="14942" style="16" width="0.88"/>
    <col collapsed="false" customWidth="true" hidden="false" outlineLevel="0" max="14943" min="14943" style="16" width="8.56"/>
    <col collapsed="false" customWidth="true" hidden="false" outlineLevel="0" max="14944" min="14944" style="16" width="0.88"/>
    <col collapsed="false" customWidth="true" hidden="false" outlineLevel="0" max="14945" min="14945" style="16" width="8.56"/>
    <col collapsed="false" customWidth="true" hidden="false" outlineLevel="0" max="14946" min="14946" style="16" width="0.88"/>
    <col collapsed="false" customWidth="true" hidden="false" outlineLevel="0" max="14948" min="14947" style="16" width="8.56"/>
    <col collapsed="false" customWidth="true" hidden="false" outlineLevel="0" max="14949" min="14949" style="16" width="26.11"/>
    <col collapsed="false" customWidth="false" hidden="false" outlineLevel="0" max="15192" min="14950" style="16" width="10.56"/>
    <col collapsed="false" customWidth="true" hidden="false" outlineLevel="0" max="15193" min="15193" style="16" width="6.44"/>
    <col collapsed="false" customWidth="true" hidden="false" outlineLevel="0" max="15196" min="15194" style="16" width="8.56"/>
    <col collapsed="false" customWidth="true" hidden="false" outlineLevel="0" max="15197" min="15197" style="16" width="9.11"/>
    <col collapsed="false" customWidth="true" hidden="false" outlineLevel="0" max="15198" min="15198" style="16" width="0.88"/>
    <col collapsed="false" customWidth="true" hidden="false" outlineLevel="0" max="15199" min="15199" style="16" width="8.56"/>
    <col collapsed="false" customWidth="true" hidden="false" outlineLevel="0" max="15200" min="15200" style="16" width="0.88"/>
    <col collapsed="false" customWidth="true" hidden="false" outlineLevel="0" max="15201" min="15201" style="16" width="8.56"/>
    <col collapsed="false" customWidth="true" hidden="false" outlineLevel="0" max="15202" min="15202" style="16" width="0.88"/>
    <col collapsed="false" customWidth="true" hidden="false" outlineLevel="0" max="15204" min="15203" style="16" width="8.56"/>
    <col collapsed="false" customWidth="true" hidden="false" outlineLevel="0" max="15205" min="15205" style="16" width="26.11"/>
    <col collapsed="false" customWidth="false" hidden="false" outlineLevel="0" max="15448" min="15206" style="16" width="10.56"/>
    <col collapsed="false" customWidth="true" hidden="false" outlineLevel="0" max="15449" min="15449" style="16" width="6.44"/>
    <col collapsed="false" customWidth="true" hidden="false" outlineLevel="0" max="15452" min="15450" style="16" width="8.56"/>
    <col collapsed="false" customWidth="true" hidden="false" outlineLevel="0" max="15453" min="15453" style="16" width="9.11"/>
    <col collapsed="false" customWidth="true" hidden="false" outlineLevel="0" max="15454" min="15454" style="16" width="0.88"/>
    <col collapsed="false" customWidth="true" hidden="false" outlineLevel="0" max="15455" min="15455" style="16" width="8.56"/>
    <col collapsed="false" customWidth="true" hidden="false" outlineLevel="0" max="15456" min="15456" style="16" width="0.88"/>
    <col collapsed="false" customWidth="true" hidden="false" outlineLevel="0" max="15457" min="15457" style="16" width="8.56"/>
    <col collapsed="false" customWidth="true" hidden="false" outlineLevel="0" max="15458" min="15458" style="16" width="0.88"/>
    <col collapsed="false" customWidth="true" hidden="false" outlineLevel="0" max="15460" min="15459" style="16" width="8.56"/>
    <col collapsed="false" customWidth="true" hidden="false" outlineLevel="0" max="15461" min="15461" style="16" width="26.11"/>
    <col collapsed="false" customWidth="false" hidden="false" outlineLevel="0" max="15704" min="15462" style="16" width="10.56"/>
    <col collapsed="false" customWidth="true" hidden="false" outlineLevel="0" max="15705" min="15705" style="16" width="6.44"/>
    <col collapsed="false" customWidth="true" hidden="false" outlineLevel="0" max="15708" min="15706" style="16" width="8.56"/>
    <col collapsed="false" customWidth="true" hidden="false" outlineLevel="0" max="15709" min="15709" style="16" width="9.11"/>
    <col collapsed="false" customWidth="true" hidden="false" outlineLevel="0" max="15710" min="15710" style="16" width="0.88"/>
    <col collapsed="false" customWidth="true" hidden="false" outlineLevel="0" max="15711" min="15711" style="16" width="8.56"/>
    <col collapsed="false" customWidth="true" hidden="false" outlineLevel="0" max="15712" min="15712" style="16" width="0.88"/>
    <col collapsed="false" customWidth="true" hidden="false" outlineLevel="0" max="15713" min="15713" style="16" width="8.56"/>
    <col collapsed="false" customWidth="true" hidden="false" outlineLevel="0" max="15714" min="15714" style="16" width="0.88"/>
    <col collapsed="false" customWidth="true" hidden="false" outlineLevel="0" max="15716" min="15715" style="16" width="8.56"/>
    <col collapsed="false" customWidth="true" hidden="false" outlineLevel="0" max="15717" min="15717" style="16" width="26.11"/>
    <col collapsed="false" customWidth="false" hidden="false" outlineLevel="0" max="15960" min="15718" style="16" width="10.56"/>
    <col collapsed="false" customWidth="true" hidden="false" outlineLevel="0" max="15961" min="15961" style="16" width="6.44"/>
    <col collapsed="false" customWidth="true" hidden="false" outlineLevel="0" max="15964" min="15962" style="16" width="8.56"/>
    <col collapsed="false" customWidth="true" hidden="false" outlineLevel="0" max="15965" min="15965" style="16" width="9.11"/>
    <col collapsed="false" customWidth="true" hidden="false" outlineLevel="0" max="15966" min="15966" style="16" width="0.88"/>
    <col collapsed="false" customWidth="true" hidden="false" outlineLevel="0" max="15967" min="15967" style="16" width="8.56"/>
    <col collapsed="false" customWidth="true" hidden="false" outlineLevel="0" max="15968" min="15968" style="16" width="0.88"/>
    <col collapsed="false" customWidth="true" hidden="false" outlineLevel="0" max="15969" min="15969" style="16" width="8.56"/>
    <col collapsed="false" customWidth="true" hidden="false" outlineLevel="0" max="15970" min="15970" style="16" width="0.88"/>
    <col collapsed="false" customWidth="true" hidden="false" outlineLevel="0" max="15972" min="15971" style="16" width="8.56"/>
    <col collapsed="false" customWidth="true" hidden="false" outlineLevel="0" max="15973" min="15973" style="16" width="26.11"/>
    <col collapsed="false" customWidth="false" hidden="false" outlineLevel="0" max="16384" min="15974" style="16" width="10.56"/>
  </cols>
  <sheetData>
    <row r="1" customFormat="false" ht="12" hidden="false" customHeight="true" outlineLevel="0" collapsed="false">
      <c r="A1" s="17"/>
      <c r="B1" s="17"/>
    </row>
    <row r="2" customFormat="false" ht="12.75" hidden="false" customHeight="false" outlineLevel="0" collapsed="false">
      <c r="A2" s="18" t="n">
        <v>1</v>
      </c>
      <c r="B2" s="18"/>
      <c r="C2" s="19" t="s">
        <v>29</v>
      </c>
      <c r="D2" s="19"/>
      <c r="E2" s="19"/>
      <c r="F2" s="19"/>
      <c r="G2" s="19"/>
      <c r="H2" s="19"/>
      <c r="I2" s="19"/>
      <c r="J2" s="19"/>
      <c r="K2" s="19"/>
    </row>
    <row r="4" customFormat="false" ht="12.75" hidden="false" customHeight="false" outlineLevel="0" collapsed="false">
      <c r="C4" s="16" t="s">
        <v>30</v>
      </c>
      <c r="D4" s="20" t="s">
        <v>31</v>
      </c>
      <c r="E4" s="20"/>
      <c r="I4" s="16" t="s">
        <v>32</v>
      </c>
      <c r="K4" s="20" t="n">
        <v>45508</v>
      </c>
    </row>
    <row r="5" customFormat="false" ht="12.75" hidden="false" customHeight="false" outlineLevel="0" collapsed="false">
      <c r="C5" s="16" t="s">
        <v>33</v>
      </c>
      <c r="D5" s="20" t="s">
        <v>34</v>
      </c>
      <c r="E5" s="20"/>
      <c r="I5" s="16" t="s">
        <v>35</v>
      </c>
      <c r="K5" s="21" t="n">
        <v>1</v>
      </c>
    </row>
    <row r="6" customFormat="false" ht="12.75" hidden="false" customHeight="false" outlineLevel="0" collapsed="false">
      <c r="C6" s="16" t="s">
        <v>36</v>
      </c>
      <c r="D6" s="20" t="s">
        <v>37</v>
      </c>
      <c r="E6" s="20"/>
      <c r="I6" s="16" t="s">
        <v>38</v>
      </c>
      <c r="K6" s="21" t="s">
        <v>39</v>
      </c>
    </row>
    <row r="8" customFormat="false" ht="12.75" hidden="false" customHeight="false" outlineLevel="0" collapsed="false">
      <c r="E8" s="22" t="s">
        <v>40</v>
      </c>
      <c r="G8" s="23" t="s">
        <v>41</v>
      </c>
      <c r="I8" s="22" t="s">
        <v>42</v>
      </c>
      <c r="K8" s="22" t="s">
        <v>43</v>
      </c>
      <c r="M8" s="22"/>
      <c r="O8" s="22" t="s">
        <v>44</v>
      </c>
    </row>
    <row r="9" customFormat="false" ht="12.75" hidden="false" customHeight="false" outlineLevel="0" collapsed="false">
      <c r="C9" s="22" t="s">
        <v>45</v>
      </c>
    </row>
    <row r="10" customFormat="false" ht="12.75" hidden="false" customHeight="false" outlineLevel="0" collapsed="false">
      <c r="B10" s="24" t="s">
        <v>46</v>
      </c>
      <c r="C10" s="25" t="s">
        <v>47</v>
      </c>
      <c r="E10" s="16" t="n">
        <v>3500</v>
      </c>
      <c r="G10" s="26" t="n">
        <v>0</v>
      </c>
      <c r="I10" s="26" t="n">
        <f aca="false">1.5*60</f>
        <v>90</v>
      </c>
      <c r="K10" s="26" t="n">
        <v>0</v>
      </c>
      <c r="L10" s="27"/>
      <c r="M10" s="26"/>
      <c r="O10" s="28" t="n">
        <f aca="false">SUM(G10:M10)</f>
        <v>90</v>
      </c>
    </row>
    <row r="11" customFormat="false" ht="12.75" hidden="false" customHeight="false" outlineLevel="0" collapsed="false">
      <c r="B11" s="24" t="s">
        <v>46</v>
      </c>
      <c r="C11" s="25" t="s">
        <v>48</v>
      </c>
      <c r="G11" s="26" t="n">
        <v>0</v>
      </c>
      <c r="I11" s="26" t="n">
        <f aca="false">5*60</f>
        <v>300</v>
      </c>
      <c r="K11" s="26" t="n">
        <v>0</v>
      </c>
      <c r="L11" s="27"/>
      <c r="M11" s="26"/>
      <c r="O11" s="28" t="n">
        <f aca="false">SUM(G11:M11)</f>
        <v>300</v>
      </c>
    </row>
    <row r="12" customFormat="false" ht="12.75" hidden="false" customHeight="false" outlineLevel="0" collapsed="false">
      <c r="C12" s="29" t="s">
        <v>49</v>
      </c>
      <c r="G12" s="26" t="n">
        <v>0</v>
      </c>
      <c r="I12" s="26" t="n">
        <f aca="false">13*60</f>
        <v>780</v>
      </c>
      <c r="K12" s="26" t="n">
        <v>0</v>
      </c>
      <c r="L12" s="27"/>
      <c r="M12" s="26"/>
      <c r="O12" s="28" t="n">
        <f aca="false">SUM(G12:M12)</f>
        <v>780</v>
      </c>
    </row>
    <row r="13" customFormat="false" ht="12.75" hidden="false" customHeight="false" outlineLevel="0" collapsed="false">
      <c r="B13" s="24" t="s">
        <v>46</v>
      </c>
      <c r="C13" s="25" t="s">
        <v>50</v>
      </c>
      <c r="G13" s="26" t="n">
        <v>0</v>
      </c>
      <c r="I13" s="26" t="n">
        <f aca="false">9*60</f>
        <v>540</v>
      </c>
      <c r="K13" s="26" t="n">
        <f aca="false">30*60</f>
        <v>1800</v>
      </c>
      <c r="L13" s="27"/>
      <c r="M13" s="26"/>
      <c r="O13" s="28" t="n">
        <f aca="false">SUM(G13:M13)</f>
        <v>2340</v>
      </c>
    </row>
    <row r="14" customFormat="false" ht="12.75" hidden="false" customHeight="false" outlineLevel="0" collapsed="false">
      <c r="C14" s="29" t="s">
        <v>51</v>
      </c>
      <c r="G14" s="26" t="n">
        <v>0</v>
      </c>
      <c r="I14" s="26" t="n">
        <f aca="false">6*60</f>
        <v>360</v>
      </c>
      <c r="K14" s="26" t="n">
        <f aca="false">26*60</f>
        <v>1560</v>
      </c>
      <c r="L14" s="27"/>
      <c r="M14" s="26"/>
      <c r="O14" s="28" t="n">
        <f aca="false">SUM(G14:M14)</f>
        <v>1920</v>
      </c>
    </row>
    <row r="15" customFormat="false" ht="12.75" hidden="false" customHeight="false" outlineLevel="0" collapsed="false">
      <c r="C15" s="29" t="s">
        <v>52</v>
      </c>
      <c r="G15" s="26" t="n">
        <v>0</v>
      </c>
      <c r="I15" s="26" t="n">
        <v>0</v>
      </c>
      <c r="K15" s="26" t="n">
        <v>90</v>
      </c>
      <c r="L15" s="27"/>
      <c r="M15" s="26"/>
      <c r="O15" s="28" t="n">
        <f aca="false">SUM(G15:M15)</f>
        <v>90</v>
      </c>
    </row>
    <row r="16" customFormat="false" ht="12.75" hidden="false" customHeight="false" outlineLevel="0" collapsed="false">
      <c r="B16" s="24" t="s">
        <v>46</v>
      </c>
      <c r="C16" s="25" t="s">
        <v>53</v>
      </c>
      <c r="G16" s="26" t="n">
        <v>0</v>
      </c>
      <c r="I16" s="26"/>
      <c r="K16" s="26"/>
      <c r="L16" s="27"/>
      <c r="M16" s="26"/>
      <c r="O16" s="28" t="n">
        <f aca="false">SUM(G16:M16)</f>
        <v>0</v>
      </c>
    </row>
    <row r="17" customFormat="false" ht="12.75" hidden="false" customHeight="false" outlineLevel="0" collapsed="false">
      <c r="B17" s="24" t="s">
        <v>46</v>
      </c>
      <c r="C17" s="25" t="s">
        <v>54</v>
      </c>
      <c r="G17" s="26" t="n">
        <v>0</v>
      </c>
      <c r="I17" s="26" t="n">
        <f aca="false">20*60</f>
        <v>1200</v>
      </c>
      <c r="K17" s="26" t="n">
        <v>0</v>
      </c>
      <c r="L17" s="27"/>
      <c r="M17" s="26"/>
      <c r="O17" s="28" t="n">
        <f aca="false">SUM(G17:M17)</f>
        <v>1200</v>
      </c>
    </row>
    <row r="18" customFormat="false" ht="12.75" hidden="false" customHeight="false" outlineLevel="0" collapsed="false">
      <c r="C18" s="29" t="s">
        <v>55</v>
      </c>
      <c r="G18" s="26" t="n">
        <v>0</v>
      </c>
      <c r="I18" s="26" t="n">
        <v>60</v>
      </c>
      <c r="K18" s="26" t="n">
        <v>0</v>
      </c>
      <c r="L18" s="27"/>
      <c r="M18" s="26"/>
      <c r="O18" s="28" t="n">
        <f aca="false">SUM(G18:M18)</f>
        <v>60</v>
      </c>
    </row>
    <row r="19" customFormat="false" ht="12.75" hidden="false" customHeight="false" outlineLevel="0" collapsed="false">
      <c r="C19" s="16" t="s">
        <v>56</v>
      </c>
      <c r="E19" s="26" t="n">
        <v>7000</v>
      </c>
      <c r="G19" s="28" t="n">
        <f aca="false">SUM(G10:G18)</f>
        <v>0</v>
      </c>
      <c r="I19" s="28" t="n">
        <f aca="false">SUM(I10:I18)</f>
        <v>3330</v>
      </c>
      <c r="K19" s="28" t="n">
        <f aca="false">SUM(K10:K18)</f>
        <v>3450</v>
      </c>
      <c r="L19" s="27"/>
      <c r="M19" s="28" t="n">
        <f aca="false">SUM(M10:M18)</f>
        <v>0</v>
      </c>
      <c r="O19" s="28" t="n">
        <f aca="false">SUM(O10:O18)</f>
        <v>6780</v>
      </c>
    </row>
    <row r="20" customFormat="false" ht="12.75" hidden="false" customHeight="false" outlineLevel="0" collapsed="false">
      <c r="G20" s="30"/>
      <c r="K20" s="31"/>
    </row>
    <row r="22" customFormat="false" ht="12.75" hidden="false" customHeight="false" outlineLevel="0" collapsed="false">
      <c r="B22" s="32" t="s">
        <v>57</v>
      </c>
    </row>
    <row r="40" customFormat="false" ht="12.75" hidden="false" customHeight="true" outlineLevel="0" collapsed="false"/>
  </sheetData>
  <mergeCells count="1">
    <mergeCell ref="C2:K2"/>
  </mergeCells>
  <printOptions headings="false" gridLines="false" gridLinesSet="true" horizontalCentered="true" verticalCentered="false"/>
  <pageMargins left="0.5" right="0.5" top="0.5" bottom="0.5" header="0.511811023622047" footer="0.511811023622047"/>
  <pageSetup paperSize="1" scale="90" fitToWidth="1" fitToHeight="1" pageOrder="downThenOver" orientation="portrait" blackAndWhite="false" draft="false" cellComments="none" horizontalDpi="300" verticalDpi="300" copies="1"/>
  <headerFooter differentFirst="false" differentOddEven="false">
    <oddHeader/>
    <oddFooter/>
  </headerFooter>
  <rowBreaks count="1" manualBreakCount="1">
    <brk id="40" man="true" max="16383" min="0"/>
  </rowBreaks>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2">
              <controlPr defaultSize="0" print="true" autoFill="0" autoPict="0" macro="ImpExp.importData">
                <anchor moveWithCells="true" sizeWithCells="false">
                  <from>
                    <xdr:col>0</xdr:col>
                    <xdr:colOff>0</xdr:colOff>
                    <xdr:row>3</xdr:row>
                    <xdr:rowOff>0</xdr:rowOff>
                  </from>
                  <to>
                    <xdr:col>1</xdr:col>
                    <xdr:colOff>123840</xdr:colOff>
                    <xdr:row>4</xdr:row>
                    <xdr:rowOff>76320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3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33" width="28.79"/>
  </cols>
  <sheetData>
    <row r="1" customFormat="false" ht="20.25" hidden="false" customHeight="false" outlineLevel="0" collapsed="false">
      <c r="A1" s="34" t="s">
        <v>58</v>
      </c>
      <c r="B1" s="34"/>
      <c r="C1" s="34"/>
      <c r="D1" s="34"/>
      <c r="E1" s="34"/>
      <c r="F1" s="34"/>
      <c r="G1" s="34"/>
      <c r="H1" s="34"/>
      <c r="I1" s="34"/>
    </row>
    <row r="3" customFormat="false" ht="12.75" hidden="false" customHeight="false" outlineLevel="0" collapsed="false">
      <c r="A3" s="35" t="s">
        <v>59</v>
      </c>
    </row>
    <row r="4" customFormat="false" ht="12.75" hidden="false" customHeight="false" outlineLevel="0" collapsed="false">
      <c r="A4" s="35" t="s">
        <v>60</v>
      </c>
    </row>
    <row r="6" customFormat="false" ht="26.25" hidden="false" customHeight="false" outlineLevel="0" collapsed="false">
      <c r="A6" s="36" t="s">
        <v>61</v>
      </c>
      <c r="B6" s="37" t="s">
        <v>62</v>
      </c>
    </row>
    <row r="7" customFormat="false" ht="12.75" hidden="false" customHeight="false" outlineLevel="0" collapsed="false">
      <c r="A7" s="38" t="s">
        <v>63</v>
      </c>
      <c r="B7" s="39"/>
    </row>
    <row r="8" customFormat="false" ht="12.75" hidden="false" customHeight="false" outlineLevel="0" collapsed="false">
      <c r="A8" s="38" t="s">
        <v>64</v>
      </c>
      <c r="B8" s="39"/>
    </row>
    <row r="9" customFormat="false" ht="12.75" hidden="false" customHeight="false" outlineLevel="0" collapsed="false">
      <c r="A9" s="38" t="s">
        <v>65</v>
      </c>
      <c r="B9" s="39"/>
    </row>
    <row r="10" customFormat="false" ht="12.75" hidden="false" customHeight="false" outlineLevel="0" collapsed="false">
      <c r="A10" s="38" t="s">
        <v>66</v>
      </c>
      <c r="B10" s="39"/>
    </row>
    <row r="11" customFormat="false" ht="12.75" hidden="false" customHeight="false" outlineLevel="0" collapsed="false">
      <c r="A11" s="38" t="s">
        <v>67</v>
      </c>
      <c r="B11" s="39"/>
    </row>
    <row r="12" customFormat="false" ht="12.75" hidden="false" customHeight="false" outlineLevel="0" collapsed="false">
      <c r="A12" s="38" t="s">
        <v>68</v>
      </c>
      <c r="B12" s="39"/>
    </row>
    <row r="13" customFormat="false" ht="12.75" hidden="false" customHeight="false" outlineLevel="0" collapsed="false">
      <c r="A13" s="38" t="s">
        <v>69</v>
      </c>
      <c r="B13" s="39"/>
    </row>
    <row r="14" customFormat="false" ht="39" hidden="false" customHeight="false" outlineLevel="0" collapsed="false">
      <c r="A14" s="40" t="s">
        <v>70</v>
      </c>
      <c r="B14" s="39"/>
    </row>
    <row r="15" customFormat="false" ht="12.75" hidden="false" customHeight="false" outlineLevel="0" collapsed="false">
      <c r="A15" s="38" t="s">
        <v>71</v>
      </c>
      <c r="B15" s="39"/>
    </row>
    <row r="16" customFormat="false" ht="12.75" hidden="false" customHeight="false" outlineLevel="0" collapsed="false">
      <c r="A16" s="38" t="s">
        <v>72</v>
      </c>
      <c r="B16" s="39"/>
    </row>
    <row r="17" customFormat="false" ht="12.75" hidden="false" customHeight="false" outlineLevel="0" collapsed="false">
      <c r="A17" s="35"/>
    </row>
    <row r="18" customFormat="false" ht="12.75" hidden="false" customHeight="false" outlineLevel="0" collapsed="false">
      <c r="A18" s="35" t="s">
        <v>73</v>
      </c>
    </row>
    <row r="19" customFormat="false" ht="12.75" hidden="false" customHeight="false" outlineLevel="0" collapsed="false">
      <c r="A19" s="41" t="s">
        <v>74</v>
      </c>
      <c r="B19" s="41" t="s">
        <v>75</v>
      </c>
      <c r="C19" s="41" t="s">
        <v>76</v>
      </c>
      <c r="D19" s="41" t="s">
        <v>77</v>
      </c>
      <c r="E19" s="41" t="s">
        <v>78</v>
      </c>
      <c r="F19" s="41" t="s">
        <v>79</v>
      </c>
      <c r="G19" s="41" t="s">
        <v>80</v>
      </c>
      <c r="H19" s="41" t="s">
        <v>81</v>
      </c>
      <c r="I19" s="42" t="s">
        <v>72</v>
      </c>
    </row>
    <row r="20" customFormat="false" ht="12.75" hidden="false" customHeight="false" outlineLevel="0" collapsed="false">
      <c r="A20" s="38" t="s">
        <v>63</v>
      </c>
      <c r="B20" s="39"/>
      <c r="C20" s="39"/>
      <c r="D20" s="39"/>
      <c r="E20" s="39"/>
      <c r="F20" s="39"/>
      <c r="G20" s="39"/>
      <c r="H20" s="39"/>
      <c r="I20" s="39"/>
    </row>
    <row r="21" customFormat="false" ht="12.75" hidden="false" customHeight="false" outlineLevel="0" collapsed="false">
      <c r="A21" s="38" t="s">
        <v>64</v>
      </c>
      <c r="B21" s="39"/>
      <c r="C21" s="39"/>
      <c r="D21" s="39"/>
      <c r="E21" s="39"/>
      <c r="F21" s="39"/>
      <c r="G21" s="39"/>
      <c r="H21" s="39"/>
      <c r="I21" s="39"/>
    </row>
    <row r="22" customFormat="false" ht="12.75" hidden="false" customHeight="false" outlineLevel="0" collapsed="false">
      <c r="A22" s="38" t="s">
        <v>65</v>
      </c>
      <c r="B22" s="39"/>
      <c r="C22" s="39"/>
      <c r="D22" s="39"/>
      <c r="E22" s="39"/>
      <c r="F22" s="39"/>
      <c r="G22" s="39"/>
      <c r="H22" s="39"/>
      <c r="I22" s="39"/>
    </row>
    <row r="23" customFormat="false" ht="12.75" hidden="false" customHeight="false" outlineLevel="0" collapsed="false">
      <c r="A23" s="38" t="s">
        <v>66</v>
      </c>
      <c r="B23" s="39"/>
      <c r="C23" s="39"/>
      <c r="D23" s="39"/>
      <c r="E23" s="39"/>
      <c r="F23" s="39"/>
      <c r="G23" s="39"/>
      <c r="H23" s="39"/>
      <c r="I23" s="39"/>
    </row>
    <row r="24" customFormat="false" ht="12.75" hidden="false" customHeight="false" outlineLevel="0" collapsed="false">
      <c r="A24" s="38" t="s">
        <v>67</v>
      </c>
      <c r="B24" s="39"/>
      <c r="C24" s="39"/>
      <c r="D24" s="39"/>
      <c r="E24" s="39"/>
      <c r="F24" s="39"/>
      <c r="G24" s="39"/>
      <c r="H24" s="39"/>
      <c r="I24" s="39"/>
    </row>
    <row r="25" customFormat="false" ht="12.75" hidden="false" customHeight="false" outlineLevel="0" collapsed="false">
      <c r="A25" s="38" t="s">
        <v>68</v>
      </c>
      <c r="B25" s="39"/>
      <c r="C25" s="39"/>
      <c r="D25" s="39"/>
      <c r="E25" s="39"/>
      <c r="F25" s="39"/>
      <c r="G25" s="39"/>
      <c r="H25" s="39"/>
      <c r="I25" s="39"/>
    </row>
    <row r="26" customFormat="false" ht="12.75" hidden="false" customHeight="false" outlineLevel="0" collapsed="false">
      <c r="A26" s="38" t="s">
        <v>69</v>
      </c>
      <c r="B26" s="39"/>
      <c r="C26" s="39"/>
      <c r="D26" s="39"/>
      <c r="E26" s="39"/>
      <c r="F26" s="39"/>
      <c r="G26" s="39"/>
      <c r="H26" s="39"/>
      <c r="I26" s="39"/>
    </row>
    <row r="27" customFormat="false" ht="39" hidden="false" customHeight="false" outlineLevel="0" collapsed="false">
      <c r="A27" s="40" t="s">
        <v>70</v>
      </c>
      <c r="B27" s="39"/>
      <c r="C27" s="39"/>
      <c r="D27" s="39"/>
      <c r="E27" s="39"/>
      <c r="F27" s="39"/>
      <c r="G27" s="39"/>
      <c r="H27" s="39"/>
      <c r="I27" s="39"/>
    </row>
    <row r="28" customFormat="false" ht="12.75" hidden="false" customHeight="false" outlineLevel="0" collapsed="false">
      <c r="A28" s="38" t="s">
        <v>71</v>
      </c>
      <c r="B28" s="39"/>
      <c r="C28" s="39"/>
      <c r="D28" s="39"/>
      <c r="E28" s="39"/>
      <c r="F28" s="39"/>
      <c r="G28" s="39"/>
      <c r="H28" s="39"/>
      <c r="I28" s="39"/>
    </row>
    <row r="29" customFormat="false" ht="12.75" hidden="false" customHeight="false" outlineLevel="0" collapsed="false">
      <c r="A29" s="43" t="s">
        <v>72</v>
      </c>
      <c r="B29" s="39"/>
      <c r="C29" s="39"/>
      <c r="D29" s="39"/>
      <c r="E29" s="39"/>
      <c r="F29" s="39"/>
      <c r="G29" s="39"/>
      <c r="H29" s="39"/>
      <c r="I29" s="39"/>
    </row>
    <row r="31" customFormat="false" ht="12.75" hidden="false" customHeight="false" outlineLevel="0" collapsed="false">
      <c r="A31" s="15" t="s">
        <v>82</v>
      </c>
    </row>
  </sheetData>
  <mergeCells count="1">
    <mergeCell ref="A1:I1"/>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H224"/>
  <sheetViews>
    <sheetView showFormulas="false" showGridLines="true" showRowColHeaders="true" showZeros="true" rightToLeft="false" tabSelected="true" showOutlineSymbols="true" defaultGridColor="true" view="normal" topLeftCell="A1" colorId="64" zoomScale="180" zoomScaleNormal="180" zoomScalePageLayoutView="100" workbookViewId="0">
      <selection pane="topLeft" activeCell="G7" activeCellId="0" sqref="G7"/>
    </sheetView>
  </sheetViews>
  <sheetFormatPr defaultColWidth="9.109375" defaultRowHeight="11.25" zeroHeight="false" outlineLevelRow="0" outlineLevelCol="0"/>
  <cols>
    <col collapsed="false" customWidth="true" hidden="false" outlineLevel="0" max="1" min="1" style="44" width="6.44"/>
    <col collapsed="false" customWidth="true" hidden="false" outlineLevel="0" max="2" min="2" style="45" width="10.56"/>
    <col collapsed="false" customWidth="true" hidden="false" outlineLevel="0" max="3" min="3" style="46" width="9.56"/>
    <col collapsed="false" customWidth="true" hidden="false" outlineLevel="0" max="4" min="4" style="47" width="8.11"/>
    <col collapsed="false" customWidth="true" hidden="false" outlineLevel="0" max="5" min="5" style="48" width="8.11"/>
    <col collapsed="false" customWidth="true" hidden="false" outlineLevel="0" max="6" min="6" style="47" width="8.11"/>
    <col collapsed="false" customWidth="true" hidden="false" outlineLevel="0" max="7" min="7" style="48" width="8.11"/>
    <col collapsed="false" customWidth="true" hidden="false" outlineLevel="0" max="8" min="8" style="45" width="45.56"/>
    <col collapsed="false" customWidth="true" hidden="false" outlineLevel="0" max="9" min="9" style="49" width="8.56"/>
    <col collapsed="false" customWidth="false" hidden="false" outlineLevel="0" max="16384" min="10" style="49" width="9.11"/>
  </cols>
  <sheetData>
    <row r="1" s="55" customFormat="true" ht="24" hidden="false" customHeight="true" outlineLevel="0" collapsed="false">
      <c r="A1" s="50" t="s">
        <v>33</v>
      </c>
      <c r="B1" s="51" t="s">
        <v>83</v>
      </c>
      <c r="C1" s="52" t="s">
        <v>32</v>
      </c>
      <c r="D1" s="53" t="s">
        <v>84</v>
      </c>
      <c r="E1" s="54" t="s">
        <v>85</v>
      </c>
      <c r="F1" s="53" t="s">
        <v>86</v>
      </c>
      <c r="G1" s="54" t="s">
        <v>87</v>
      </c>
      <c r="H1" s="51" t="s">
        <v>88</v>
      </c>
    </row>
    <row r="2" customFormat="false" ht="12.8" hidden="false" customHeight="false" outlineLevel="0" collapsed="false">
      <c r="A2" s="56" t="n">
        <v>1</v>
      </c>
      <c r="B2" s="57" t="s">
        <v>47</v>
      </c>
      <c r="C2" s="58" t="n">
        <v>45390</v>
      </c>
      <c r="D2" s="59" t="n">
        <v>0.625</v>
      </c>
      <c r="E2" s="60" t="n">
        <v>0</v>
      </c>
      <c r="F2" s="59" t="n">
        <v>0.6875</v>
      </c>
      <c r="G2" s="48" t="str">
        <f aca="false">TEXT(F2-D2, "h:mm")</f>
        <v>1:30</v>
      </c>
      <c r="H2" s="48" t="s">
        <v>89</v>
      </c>
    </row>
    <row r="3" customFormat="false" ht="12.8" hidden="false" customHeight="false" outlineLevel="0" collapsed="false">
      <c r="A3" s="56" t="n">
        <v>1</v>
      </c>
      <c r="B3" s="57" t="s">
        <v>48</v>
      </c>
      <c r="C3" s="58" t="n">
        <v>45390</v>
      </c>
      <c r="D3" s="59" t="n">
        <v>0.6875</v>
      </c>
      <c r="E3" s="60" t="n">
        <v>0</v>
      </c>
      <c r="F3" s="59" t="n">
        <v>0.708333333333333</v>
      </c>
      <c r="G3" s="48" t="str">
        <f aca="false">TEXT(F3-D3, "h:mm")</f>
        <v>0:30</v>
      </c>
      <c r="H3" s="48" t="s">
        <v>90</v>
      </c>
    </row>
    <row r="4" customFormat="false" ht="12.8" hidden="false" customHeight="false" outlineLevel="0" collapsed="false">
      <c r="A4" s="56" t="n">
        <v>1</v>
      </c>
      <c r="B4" s="57" t="s">
        <v>48</v>
      </c>
      <c r="C4" s="58" t="n">
        <v>45392</v>
      </c>
      <c r="D4" s="59" t="n">
        <v>0.625</v>
      </c>
      <c r="E4" s="60" t="n">
        <v>0</v>
      </c>
      <c r="F4" s="61" t="n">
        <v>0.708333333333333</v>
      </c>
      <c r="G4" s="48" t="str">
        <f aca="false">TEXT(F4-D4, "h:mm")</f>
        <v>2:00</v>
      </c>
      <c r="H4" s="48" t="s">
        <v>91</v>
      </c>
    </row>
    <row r="5" customFormat="false" ht="12.8" hidden="false" customHeight="false" outlineLevel="0" collapsed="false">
      <c r="A5" s="56" t="n">
        <v>1</v>
      </c>
      <c r="B5" s="57" t="s">
        <v>49</v>
      </c>
      <c r="C5" s="58" t="n">
        <v>45393</v>
      </c>
      <c r="D5" s="59" t="n">
        <v>0.625</v>
      </c>
      <c r="E5" s="60" t="n">
        <v>0</v>
      </c>
      <c r="F5" s="61" t="n">
        <v>0.6875</v>
      </c>
      <c r="G5" s="48" t="str">
        <f aca="false">TEXT(F5-D5, "h:mm")</f>
        <v>1:30</v>
      </c>
      <c r="H5" s="48" t="s">
        <v>92</v>
      </c>
    </row>
    <row r="6" customFormat="false" ht="12.8" hidden="false" customHeight="false" outlineLevel="0" collapsed="false">
      <c r="A6" s="56" t="n">
        <v>1</v>
      </c>
      <c r="B6" s="57" t="s">
        <v>49</v>
      </c>
      <c r="C6" s="58" t="n">
        <v>45393</v>
      </c>
      <c r="D6" s="59" t="n">
        <v>0.6875</v>
      </c>
      <c r="E6" s="60" t="n">
        <v>0</v>
      </c>
      <c r="F6" s="61" t="n">
        <v>0.708333333333333</v>
      </c>
      <c r="G6" s="48" t="str">
        <f aca="false">TEXT(F6-D6, "h:mm")</f>
        <v>0:30</v>
      </c>
      <c r="H6" s="48" t="s">
        <v>93</v>
      </c>
    </row>
    <row r="7" customFormat="false" ht="12.8" hidden="false" customHeight="false" outlineLevel="0" collapsed="false">
      <c r="A7" s="56" t="n">
        <v>1</v>
      </c>
      <c r="B7" s="57" t="s">
        <v>49</v>
      </c>
      <c r="C7" s="58" t="n">
        <v>45398</v>
      </c>
      <c r="D7" s="59" t="n">
        <v>0.430555555555556</v>
      </c>
      <c r="E7" s="60" t="n">
        <v>20</v>
      </c>
      <c r="F7" s="61" t="n">
        <v>0.493055555555556</v>
      </c>
      <c r="G7" s="48" t="str">
        <f aca="false">TEXT(F7-D7, "h:mm")</f>
        <v>1:30</v>
      </c>
      <c r="H7" s="48" t="s">
        <v>93</v>
      </c>
    </row>
    <row r="8" customFormat="false" ht="12.8" hidden="false" customHeight="false" outlineLevel="0" collapsed="false">
      <c r="A8" s="56" t="n">
        <v>1</v>
      </c>
      <c r="B8" s="57"/>
      <c r="C8" s="58"/>
      <c r="D8" s="59"/>
      <c r="E8" s="62"/>
      <c r="F8" s="61"/>
      <c r="G8" s="48" t="str">
        <f aca="false">TEXT(F8-D8, "h:mm")</f>
        <v>0:00</v>
      </c>
      <c r="H8" s="48"/>
    </row>
    <row r="9" customFormat="false" ht="12.8" hidden="false" customHeight="false" outlineLevel="0" collapsed="false">
      <c r="A9" s="56" t="n">
        <v>1</v>
      </c>
      <c r="B9" s="57"/>
      <c r="C9" s="58"/>
      <c r="D9" s="59"/>
      <c r="E9" s="62"/>
      <c r="F9" s="61"/>
      <c r="G9" s="48" t="str">
        <f aca="false">TEXT(F9-D9, "h:mm")</f>
        <v>0:00</v>
      </c>
      <c r="H9" s="48"/>
    </row>
    <row r="10" customFormat="false" ht="12.8" hidden="false" customHeight="false" outlineLevel="0" collapsed="false">
      <c r="A10" s="56" t="n">
        <v>1</v>
      </c>
      <c r="B10" s="57"/>
      <c r="C10" s="58"/>
      <c r="D10" s="59"/>
      <c r="E10" s="62"/>
      <c r="F10" s="61"/>
      <c r="G10" s="48" t="str">
        <f aca="false">TEXT(F10-D10, "h:mm")</f>
        <v>0:00</v>
      </c>
      <c r="H10" s="48"/>
    </row>
    <row r="11" customFormat="false" ht="12.8" hidden="false" customHeight="false" outlineLevel="0" collapsed="false">
      <c r="A11" s="56" t="n">
        <v>1</v>
      </c>
      <c r="B11" s="57"/>
      <c r="C11" s="58"/>
      <c r="D11" s="59"/>
      <c r="E11" s="62"/>
      <c r="F11" s="61"/>
      <c r="G11" s="48" t="str">
        <f aca="false">TEXT(F11-D11, "h:mm")</f>
        <v>0:00</v>
      </c>
      <c r="H11" s="48"/>
    </row>
    <row r="12" customFormat="false" ht="12.8" hidden="false" customHeight="false" outlineLevel="0" collapsed="false">
      <c r="A12" s="56" t="n">
        <v>1</v>
      </c>
      <c r="B12" s="57"/>
      <c r="C12" s="58"/>
      <c r="D12" s="59"/>
      <c r="E12" s="62"/>
      <c r="F12" s="59"/>
      <c r="G12" s="48" t="str">
        <f aca="false">TEXT(F12-D12, "h:mm")</f>
        <v>0:00</v>
      </c>
    </row>
    <row r="13" customFormat="false" ht="12.8" hidden="false" customHeight="false" outlineLevel="0" collapsed="false">
      <c r="A13" s="56" t="n">
        <v>1</v>
      </c>
      <c r="B13" s="57"/>
      <c r="C13" s="58"/>
      <c r="D13" s="59"/>
      <c r="E13" s="62"/>
      <c r="F13" s="61"/>
      <c r="G13" s="48" t="str">
        <f aca="false">TEXT(F13-D13, "h:mm")</f>
        <v>0:00</v>
      </c>
    </row>
    <row r="14" customFormat="false" ht="12.8" hidden="false" customHeight="false" outlineLevel="0" collapsed="false">
      <c r="A14" s="56" t="n">
        <v>1</v>
      </c>
      <c r="B14" s="57"/>
      <c r="C14" s="58"/>
      <c r="D14" s="59"/>
      <c r="E14" s="62"/>
      <c r="F14" s="61"/>
      <c r="G14" s="48" t="str">
        <f aca="false">TEXT(F14-D14, "h:mm")</f>
        <v>0:00</v>
      </c>
    </row>
    <row r="15" customFormat="false" ht="12.8" hidden="false" customHeight="false" outlineLevel="0" collapsed="false">
      <c r="A15" s="56" t="n">
        <v>1</v>
      </c>
      <c r="B15" s="57"/>
      <c r="C15" s="58"/>
      <c r="D15" s="59"/>
      <c r="E15" s="62"/>
      <c r="F15" s="61"/>
      <c r="G15" s="48" t="str">
        <f aca="false">TEXT(F15-D15, "h:mm")</f>
        <v>0:00</v>
      </c>
      <c r="H15" s="48"/>
    </row>
    <row r="16" customFormat="false" ht="12.8" hidden="false" customHeight="false" outlineLevel="0" collapsed="false">
      <c r="A16" s="56" t="n">
        <v>1</v>
      </c>
      <c r="B16" s="57"/>
      <c r="C16" s="58"/>
      <c r="D16" s="59"/>
      <c r="E16" s="62"/>
      <c r="F16" s="61"/>
      <c r="G16" s="48" t="str">
        <f aca="false">TEXT(F16-D16, "h:mm")</f>
        <v>0:00</v>
      </c>
      <c r="H16" s="48"/>
    </row>
    <row r="17" customFormat="false" ht="12.8" hidden="false" customHeight="false" outlineLevel="0" collapsed="false">
      <c r="A17" s="56" t="n">
        <v>1</v>
      </c>
      <c r="B17" s="57"/>
      <c r="C17" s="58"/>
      <c r="D17" s="59"/>
      <c r="E17" s="62"/>
      <c r="F17" s="61"/>
      <c r="G17" s="48" t="str">
        <f aca="false">TEXT(F17-D17, "h:mm")</f>
        <v>0:00</v>
      </c>
      <c r="H17" s="48"/>
    </row>
    <row r="18" customFormat="false" ht="12.8" hidden="false" customHeight="false" outlineLevel="0" collapsed="false">
      <c r="A18" s="56" t="n">
        <v>1</v>
      </c>
      <c r="B18" s="57"/>
      <c r="C18" s="58"/>
      <c r="D18" s="59"/>
      <c r="E18" s="62"/>
      <c r="F18" s="61"/>
      <c r="G18" s="48" t="str">
        <f aca="false">TEXT(F18-D18, "h:mm")</f>
        <v>0:00</v>
      </c>
      <c r="H18" s="48"/>
    </row>
    <row r="19" customFormat="false" ht="12.8" hidden="false" customHeight="false" outlineLevel="0" collapsed="false">
      <c r="A19" s="56" t="n">
        <v>1</v>
      </c>
      <c r="B19" s="57"/>
      <c r="C19" s="58"/>
      <c r="D19" s="59"/>
      <c r="E19" s="62"/>
      <c r="F19" s="61"/>
      <c r="G19" s="48" t="str">
        <f aca="false">TEXT(F19-D19, "h:mm")</f>
        <v>0:00</v>
      </c>
      <c r="H19" s="48"/>
    </row>
    <row r="20" customFormat="false" ht="12.8" hidden="false" customHeight="false" outlineLevel="0" collapsed="false">
      <c r="A20" s="56" t="n">
        <v>1</v>
      </c>
      <c r="B20" s="57"/>
      <c r="C20" s="58"/>
      <c r="D20" s="59"/>
      <c r="E20" s="62"/>
      <c r="F20" s="61"/>
      <c r="G20" s="48" t="str">
        <f aca="false">TEXT(F20-D20, "h:mm")</f>
        <v>0:00</v>
      </c>
    </row>
    <row r="21" customFormat="false" ht="12.8" hidden="false" customHeight="false" outlineLevel="0" collapsed="false">
      <c r="A21" s="56"/>
      <c r="B21" s="57"/>
      <c r="C21" s="58"/>
      <c r="D21" s="59"/>
      <c r="E21" s="62"/>
      <c r="F21" s="61"/>
      <c r="H21" s="48"/>
    </row>
    <row r="22" customFormat="false" ht="11.25" hidden="false" customHeight="false" outlineLevel="0" collapsed="false">
      <c r="A22" s="63"/>
      <c r="B22" s="57"/>
      <c r="C22" s="58"/>
      <c r="D22" s="59"/>
      <c r="E22" s="62"/>
      <c r="F22" s="61"/>
      <c r="H22" s="48"/>
    </row>
    <row r="23" customFormat="false" ht="11.25" hidden="false" customHeight="false" outlineLevel="0" collapsed="false">
      <c r="A23" s="63"/>
      <c r="B23" s="57"/>
      <c r="C23" s="58"/>
      <c r="D23" s="59"/>
      <c r="E23" s="62"/>
      <c r="F23" s="61"/>
    </row>
    <row r="24" customFormat="false" ht="11.25" hidden="false" customHeight="false" outlineLevel="0" collapsed="false">
      <c r="A24" s="63"/>
      <c r="B24" s="57"/>
      <c r="C24" s="58"/>
      <c r="D24" s="59"/>
      <c r="E24" s="62"/>
      <c r="F24" s="61"/>
    </row>
    <row r="25" customFormat="false" ht="11.25" hidden="false" customHeight="false" outlineLevel="0" collapsed="false">
      <c r="A25" s="63"/>
      <c r="B25" s="57"/>
      <c r="C25" s="58"/>
      <c r="D25" s="59"/>
      <c r="E25" s="62"/>
      <c r="F25" s="61"/>
      <c r="H25" s="48"/>
    </row>
    <row r="26" customFormat="false" ht="11.25" hidden="false" customHeight="false" outlineLevel="0" collapsed="false">
      <c r="A26" s="63"/>
      <c r="B26" s="57"/>
      <c r="C26" s="58"/>
      <c r="D26" s="59"/>
      <c r="E26" s="62"/>
      <c r="F26" s="61"/>
      <c r="H26" s="48"/>
    </row>
    <row r="27" customFormat="false" ht="11.25" hidden="false" customHeight="false" outlineLevel="0" collapsed="false">
      <c r="A27" s="63"/>
      <c r="B27" s="57"/>
      <c r="C27" s="58"/>
      <c r="D27" s="59"/>
      <c r="E27" s="62"/>
      <c r="F27" s="61"/>
    </row>
    <row r="28" customFormat="false" ht="11.25" hidden="false" customHeight="false" outlineLevel="0" collapsed="false">
      <c r="A28" s="63"/>
      <c r="B28" s="57"/>
      <c r="C28" s="58"/>
      <c r="D28" s="59"/>
      <c r="E28" s="62"/>
      <c r="F28" s="61"/>
    </row>
    <row r="29" customFormat="false" ht="11.25" hidden="false" customHeight="false" outlineLevel="0" collapsed="false">
      <c r="A29" s="63"/>
      <c r="B29" s="57"/>
      <c r="C29" s="58"/>
      <c r="D29" s="59"/>
      <c r="E29" s="62"/>
      <c r="F29" s="61"/>
    </row>
    <row r="30" customFormat="false" ht="11.25" hidden="false" customHeight="false" outlineLevel="0" collapsed="false">
      <c r="A30" s="63"/>
      <c r="B30" s="57"/>
      <c r="C30" s="58"/>
      <c r="D30" s="59"/>
      <c r="E30" s="62"/>
      <c r="F30" s="61"/>
      <c r="H30" s="48"/>
    </row>
    <row r="31" customFormat="false" ht="11.25" hidden="false" customHeight="false" outlineLevel="0" collapsed="false">
      <c r="A31" s="63"/>
      <c r="B31" s="57"/>
      <c r="C31" s="58"/>
      <c r="D31" s="59"/>
      <c r="E31" s="62"/>
      <c r="F31" s="61"/>
      <c r="H31" s="48"/>
    </row>
    <row r="32" customFormat="false" ht="11.25" hidden="false" customHeight="false" outlineLevel="0" collapsed="false">
      <c r="A32" s="63"/>
      <c r="B32" s="57"/>
      <c r="C32" s="58"/>
      <c r="D32" s="59"/>
      <c r="E32" s="62"/>
      <c r="F32" s="61"/>
    </row>
    <row r="33" customFormat="false" ht="11.25" hidden="false" customHeight="false" outlineLevel="0" collapsed="false">
      <c r="A33" s="63"/>
      <c r="B33" s="57"/>
      <c r="C33" s="58"/>
      <c r="D33" s="59"/>
      <c r="E33" s="62"/>
      <c r="F33" s="61"/>
      <c r="H33" s="48"/>
    </row>
    <row r="34" customFormat="false" ht="11.25" hidden="false" customHeight="false" outlineLevel="0" collapsed="false">
      <c r="A34" s="63"/>
      <c r="B34" s="57"/>
      <c r="C34" s="58"/>
      <c r="D34" s="59"/>
      <c r="E34" s="62"/>
      <c r="F34" s="61"/>
      <c r="H34" s="48"/>
    </row>
    <row r="35" customFormat="false" ht="11.25" hidden="false" customHeight="false" outlineLevel="0" collapsed="false">
      <c r="A35" s="63"/>
      <c r="B35" s="57"/>
      <c r="C35" s="58"/>
      <c r="D35" s="59"/>
      <c r="E35" s="62"/>
      <c r="F35" s="61"/>
    </row>
    <row r="36" customFormat="false" ht="11.25" hidden="false" customHeight="false" outlineLevel="0" collapsed="false">
      <c r="A36" s="63"/>
      <c r="B36" s="57"/>
      <c r="C36" s="58"/>
      <c r="D36" s="59"/>
      <c r="E36" s="62"/>
      <c r="F36" s="61"/>
    </row>
    <row r="37" customFormat="false" ht="11.25" hidden="false" customHeight="false" outlineLevel="0" collapsed="false">
      <c r="A37" s="63"/>
      <c r="B37" s="57"/>
      <c r="C37" s="58"/>
      <c r="D37" s="59"/>
      <c r="E37" s="62"/>
      <c r="F37" s="61"/>
      <c r="H37" s="48"/>
    </row>
    <row r="38" customFormat="false" ht="11.25" hidden="false" customHeight="false" outlineLevel="0" collapsed="false">
      <c r="A38" s="63"/>
      <c r="B38" s="57"/>
      <c r="C38" s="58"/>
      <c r="D38" s="59"/>
      <c r="E38" s="62"/>
      <c r="F38" s="61"/>
      <c r="H38" s="48"/>
    </row>
    <row r="39" customFormat="false" ht="11.25" hidden="false" customHeight="false" outlineLevel="0" collapsed="false">
      <c r="A39" s="63"/>
      <c r="B39" s="57"/>
      <c r="C39" s="58"/>
      <c r="D39" s="59"/>
      <c r="E39" s="62"/>
      <c r="F39" s="61"/>
    </row>
    <row r="40" customFormat="false" ht="11.25" hidden="false" customHeight="false" outlineLevel="0" collapsed="false">
      <c r="A40" s="63"/>
      <c r="B40" s="57"/>
      <c r="C40" s="58"/>
      <c r="D40" s="59"/>
      <c r="E40" s="62"/>
      <c r="F40" s="61"/>
    </row>
    <row r="41" customFormat="false" ht="11.25" hidden="false" customHeight="false" outlineLevel="0" collapsed="false">
      <c r="A41" s="63"/>
      <c r="B41" s="57"/>
      <c r="C41" s="58"/>
      <c r="D41" s="59"/>
      <c r="E41" s="62"/>
      <c r="F41" s="61"/>
      <c r="H41" s="48"/>
    </row>
    <row r="42" customFormat="false" ht="11.25" hidden="false" customHeight="false" outlineLevel="0" collapsed="false">
      <c r="A42" s="63"/>
      <c r="B42" s="57"/>
      <c r="C42" s="58"/>
      <c r="D42" s="59"/>
      <c r="E42" s="62"/>
      <c r="F42" s="61"/>
      <c r="H42" s="48"/>
    </row>
    <row r="43" customFormat="false" ht="11.25" hidden="false" customHeight="false" outlineLevel="0" collapsed="false">
      <c r="A43" s="63"/>
      <c r="B43" s="57"/>
      <c r="C43" s="58"/>
      <c r="D43" s="59"/>
      <c r="E43" s="62"/>
      <c r="F43" s="61"/>
    </row>
    <row r="44" customFormat="false" ht="11.25" hidden="false" customHeight="false" outlineLevel="0" collapsed="false">
      <c r="A44" s="63"/>
      <c r="B44" s="57"/>
      <c r="C44" s="58"/>
      <c r="D44" s="59"/>
      <c r="E44" s="62"/>
      <c r="F44" s="61"/>
    </row>
    <row r="45" customFormat="false" ht="11.25" hidden="false" customHeight="false" outlineLevel="0" collapsed="false">
      <c r="A45" s="63"/>
      <c r="B45" s="57"/>
      <c r="C45" s="58"/>
      <c r="D45" s="59"/>
      <c r="E45" s="62"/>
      <c r="F45" s="61"/>
    </row>
    <row r="46" customFormat="false" ht="11.25" hidden="false" customHeight="false" outlineLevel="0" collapsed="false">
      <c r="A46" s="63"/>
      <c r="B46" s="57"/>
      <c r="C46" s="58"/>
      <c r="D46" s="59"/>
      <c r="E46" s="62"/>
      <c r="F46" s="61"/>
    </row>
    <row r="47" customFormat="false" ht="11.25" hidden="false" customHeight="false" outlineLevel="0" collapsed="false">
      <c r="A47" s="63"/>
      <c r="B47" s="57"/>
      <c r="C47" s="58"/>
      <c r="D47" s="59"/>
      <c r="E47" s="62"/>
      <c r="F47" s="61"/>
      <c r="H47" s="48"/>
    </row>
    <row r="48" customFormat="false" ht="11.25" hidden="false" customHeight="false" outlineLevel="0" collapsed="false">
      <c r="C48" s="64"/>
      <c r="D48" s="61"/>
      <c r="F48" s="61"/>
      <c r="H48" s="48"/>
    </row>
    <row r="49" customFormat="false" ht="11.25" hidden="false" customHeight="false" outlineLevel="0" collapsed="false">
      <c r="C49" s="64"/>
      <c r="D49" s="61"/>
      <c r="F49" s="61"/>
    </row>
    <row r="50" customFormat="false" ht="11.25" hidden="false" customHeight="false" outlineLevel="0" collapsed="false">
      <c r="C50" s="64"/>
      <c r="D50" s="61"/>
      <c r="F50" s="61"/>
    </row>
    <row r="51" customFormat="false" ht="11.25" hidden="false" customHeight="false" outlineLevel="0" collapsed="false">
      <c r="C51" s="64"/>
      <c r="D51" s="61"/>
      <c r="F51" s="61"/>
    </row>
    <row r="52" customFormat="false" ht="11.25" hidden="false" customHeight="false" outlineLevel="0" collapsed="false">
      <c r="C52" s="64"/>
      <c r="D52" s="61"/>
      <c r="F52" s="61"/>
    </row>
    <row r="53" customFormat="false" ht="11.25" hidden="false" customHeight="false" outlineLevel="0" collapsed="false">
      <c r="C53" s="64"/>
      <c r="D53" s="61"/>
      <c r="F53" s="61"/>
    </row>
    <row r="54" customFormat="false" ht="11.25" hidden="false" customHeight="false" outlineLevel="0" collapsed="false">
      <c r="C54" s="64"/>
      <c r="D54" s="61"/>
      <c r="F54" s="61"/>
      <c r="H54" s="48"/>
    </row>
    <row r="55" customFormat="false" ht="11.25" hidden="false" customHeight="false" outlineLevel="0" collapsed="false">
      <c r="C55" s="64"/>
      <c r="D55" s="61"/>
      <c r="F55" s="61"/>
    </row>
    <row r="56" customFormat="false" ht="11.25" hidden="false" customHeight="false" outlineLevel="0" collapsed="false">
      <c r="C56" s="64"/>
      <c r="D56" s="61"/>
      <c r="F56" s="61"/>
    </row>
    <row r="57" customFormat="false" ht="11.25" hidden="false" customHeight="false" outlineLevel="0" collapsed="false">
      <c r="C57" s="64"/>
      <c r="D57" s="61"/>
      <c r="F57" s="61"/>
    </row>
    <row r="58" customFormat="false" ht="11.25" hidden="false" customHeight="false" outlineLevel="0" collapsed="false">
      <c r="C58" s="64"/>
      <c r="D58" s="61"/>
      <c r="F58" s="61"/>
    </row>
    <row r="59" customFormat="false" ht="11.25" hidden="false" customHeight="false" outlineLevel="0" collapsed="false">
      <c r="C59" s="64"/>
      <c r="D59" s="61"/>
      <c r="F59" s="61"/>
      <c r="H59" s="48"/>
    </row>
    <row r="60" customFormat="false" ht="11.25" hidden="false" customHeight="false" outlineLevel="0" collapsed="false">
      <c r="C60" s="64"/>
      <c r="D60" s="61"/>
      <c r="F60" s="61"/>
    </row>
    <row r="61" customFormat="false" ht="11.25" hidden="false" customHeight="false" outlineLevel="0" collapsed="false">
      <c r="C61" s="64"/>
      <c r="D61" s="61"/>
      <c r="F61" s="61"/>
      <c r="H61" s="48"/>
    </row>
    <row r="62" customFormat="false" ht="11.25" hidden="false" customHeight="false" outlineLevel="0" collapsed="false">
      <c r="C62" s="64"/>
      <c r="D62" s="61"/>
      <c r="F62" s="61"/>
    </row>
    <row r="63" customFormat="false" ht="11.25" hidden="false" customHeight="false" outlineLevel="0" collapsed="false">
      <c r="C63" s="64"/>
      <c r="D63" s="61"/>
      <c r="F63" s="61"/>
      <c r="H63" s="48"/>
    </row>
    <row r="64" customFormat="false" ht="11.25" hidden="false" customHeight="false" outlineLevel="0" collapsed="false">
      <c r="C64" s="64"/>
      <c r="D64" s="61"/>
      <c r="F64" s="61"/>
    </row>
    <row r="65" customFormat="false" ht="11.25" hidden="false" customHeight="false" outlineLevel="0" collapsed="false">
      <c r="C65" s="64"/>
      <c r="D65" s="61"/>
      <c r="F65" s="61"/>
    </row>
    <row r="66" customFormat="false" ht="11.25" hidden="false" customHeight="false" outlineLevel="0" collapsed="false">
      <c r="C66" s="64"/>
      <c r="D66" s="61"/>
      <c r="F66" s="61"/>
    </row>
    <row r="67" customFormat="false" ht="11.25" hidden="false" customHeight="false" outlineLevel="0" collapsed="false">
      <c r="C67" s="64"/>
      <c r="D67" s="61"/>
      <c r="F67" s="61"/>
    </row>
    <row r="68" customFormat="false" ht="11.25" hidden="false" customHeight="false" outlineLevel="0" collapsed="false">
      <c r="C68" s="64"/>
      <c r="D68" s="61"/>
      <c r="F68" s="61"/>
      <c r="H68" s="48"/>
    </row>
    <row r="69" customFormat="false" ht="11.25" hidden="false" customHeight="false" outlineLevel="0" collapsed="false">
      <c r="C69" s="64"/>
      <c r="D69" s="61"/>
      <c r="F69" s="61"/>
      <c r="H69" s="48"/>
    </row>
    <row r="70" customFormat="false" ht="11.25" hidden="false" customHeight="false" outlineLevel="0" collapsed="false">
      <c r="C70" s="64"/>
      <c r="D70" s="61"/>
      <c r="F70" s="61"/>
      <c r="H70" s="48"/>
    </row>
    <row r="71" customFormat="false" ht="11.25" hidden="false" customHeight="false" outlineLevel="0" collapsed="false">
      <c r="C71" s="64"/>
      <c r="D71" s="61"/>
      <c r="F71" s="61"/>
    </row>
    <row r="72" customFormat="false" ht="11.25" hidden="false" customHeight="false" outlineLevel="0" collapsed="false">
      <c r="C72" s="64"/>
      <c r="D72" s="61"/>
      <c r="F72" s="61"/>
    </row>
    <row r="73" customFormat="false" ht="11.25" hidden="false" customHeight="false" outlineLevel="0" collapsed="false">
      <c r="C73" s="64"/>
      <c r="D73" s="61"/>
      <c r="F73" s="61"/>
    </row>
    <row r="74" customFormat="false" ht="11.25" hidden="false" customHeight="false" outlineLevel="0" collapsed="false">
      <c r="C74" s="64"/>
      <c r="D74" s="61"/>
      <c r="F74" s="61"/>
    </row>
    <row r="75" customFormat="false" ht="11.25" hidden="false" customHeight="false" outlineLevel="0" collapsed="false">
      <c r="C75" s="64"/>
      <c r="D75" s="61"/>
      <c r="F75" s="61"/>
      <c r="H75" s="48"/>
    </row>
    <row r="76" customFormat="false" ht="11.25" hidden="false" customHeight="false" outlineLevel="0" collapsed="false">
      <c r="C76" s="64"/>
      <c r="D76" s="61"/>
      <c r="F76" s="61"/>
      <c r="H76" s="48"/>
    </row>
    <row r="77" customFormat="false" ht="11.25" hidden="false" customHeight="false" outlineLevel="0" collapsed="false">
      <c r="C77" s="64"/>
      <c r="D77" s="61"/>
      <c r="F77" s="61"/>
    </row>
    <row r="78" customFormat="false" ht="11.25" hidden="false" customHeight="false" outlineLevel="0" collapsed="false">
      <c r="C78" s="64"/>
      <c r="D78" s="61"/>
      <c r="F78" s="61"/>
    </row>
    <row r="79" customFormat="false" ht="11.25" hidden="false" customHeight="false" outlineLevel="0" collapsed="false">
      <c r="C79" s="64"/>
      <c r="D79" s="61"/>
      <c r="F79" s="61"/>
      <c r="H79" s="48"/>
    </row>
    <row r="80" customFormat="false" ht="11.25" hidden="false" customHeight="false" outlineLevel="0" collapsed="false">
      <c r="C80" s="64"/>
      <c r="D80" s="61"/>
      <c r="F80" s="61"/>
    </row>
    <row r="81" customFormat="false" ht="11.25" hidden="false" customHeight="false" outlineLevel="0" collapsed="false">
      <c r="C81" s="64"/>
      <c r="D81" s="61"/>
      <c r="F81" s="61"/>
    </row>
    <row r="82" customFormat="false" ht="11.25" hidden="false" customHeight="false" outlineLevel="0" collapsed="false">
      <c r="C82" s="64"/>
      <c r="D82" s="61"/>
      <c r="F82" s="61"/>
    </row>
    <row r="83" customFormat="false" ht="11.25" hidden="false" customHeight="false" outlineLevel="0" collapsed="false">
      <c r="C83" s="64"/>
      <c r="D83" s="61"/>
      <c r="F83" s="61"/>
      <c r="H83" s="48"/>
    </row>
    <row r="84" customFormat="false" ht="11.25" hidden="false" customHeight="false" outlineLevel="0" collapsed="false">
      <c r="C84" s="64"/>
      <c r="D84" s="61"/>
      <c r="F84" s="61"/>
    </row>
    <row r="85" customFormat="false" ht="11.25" hidden="false" customHeight="false" outlineLevel="0" collapsed="false">
      <c r="C85" s="64"/>
      <c r="D85" s="61"/>
      <c r="F85" s="61"/>
      <c r="H85" s="48"/>
    </row>
    <row r="86" customFormat="false" ht="11.25" hidden="false" customHeight="false" outlineLevel="0" collapsed="false">
      <c r="C86" s="64"/>
      <c r="D86" s="61"/>
      <c r="F86" s="61"/>
    </row>
    <row r="87" customFormat="false" ht="11.25" hidden="false" customHeight="false" outlineLevel="0" collapsed="false">
      <c r="C87" s="64"/>
      <c r="D87" s="61"/>
      <c r="F87" s="61"/>
    </row>
    <row r="88" customFormat="false" ht="11.25" hidden="false" customHeight="false" outlineLevel="0" collapsed="false">
      <c r="C88" s="64"/>
      <c r="D88" s="61"/>
      <c r="F88" s="61"/>
    </row>
    <row r="89" customFormat="false" ht="11.25" hidden="false" customHeight="false" outlineLevel="0" collapsed="false">
      <c r="C89" s="64"/>
      <c r="D89" s="61"/>
      <c r="F89" s="61"/>
      <c r="H89" s="48"/>
    </row>
    <row r="90" customFormat="false" ht="11.25" hidden="false" customHeight="false" outlineLevel="0" collapsed="false">
      <c r="C90" s="64"/>
      <c r="D90" s="61"/>
      <c r="F90" s="61"/>
      <c r="H90" s="48"/>
    </row>
    <row r="91" customFormat="false" ht="11.25" hidden="false" customHeight="false" outlineLevel="0" collapsed="false">
      <c r="C91" s="64"/>
      <c r="D91" s="61"/>
      <c r="F91" s="61"/>
      <c r="H91" s="48"/>
    </row>
    <row r="92" customFormat="false" ht="11.25" hidden="false" customHeight="false" outlineLevel="0" collapsed="false">
      <c r="C92" s="64"/>
      <c r="D92" s="61"/>
      <c r="F92" s="61"/>
    </row>
    <row r="93" customFormat="false" ht="11.25" hidden="false" customHeight="false" outlineLevel="0" collapsed="false">
      <c r="C93" s="64"/>
      <c r="D93" s="61"/>
      <c r="F93" s="61"/>
    </row>
    <row r="94" customFormat="false" ht="11.25" hidden="false" customHeight="false" outlineLevel="0" collapsed="false">
      <c r="C94" s="64"/>
      <c r="D94" s="61"/>
      <c r="F94" s="61"/>
    </row>
    <row r="95" customFormat="false" ht="11.25" hidden="false" customHeight="false" outlineLevel="0" collapsed="false">
      <c r="C95" s="64"/>
      <c r="D95" s="61"/>
      <c r="F95" s="61"/>
    </row>
    <row r="96" customFormat="false" ht="11.25" hidden="false" customHeight="false" outlineLevel="0" collapsed="false">
      <c r="C96" s="64"/>
      <c r="D96" s="61"/>
      <c r="F96" s="61"/>
    </row>
    <row r="97" customFormat="false" ht="11.25" hidden="false" customHeight="false" outlineLevel="0" collapsed="false">
      <c r="C97" s="64"/>
      <c r="D97" s="61"/>
      <c r="F97" s="61"/>
    </row>
    <row r="98" customFormat="false" ht="11.25" hidden="false" customHeight="false" outlineLevel="0" collapsed="false">
      <c r="C98" s="64"/>
      <c r="D98" s="61"/>
      <c r="F98" s="61"/>
      <c r="H98" s="48"/>
    </row>
    <row r="99" customFormat="false" ht="11.25" hidden="false" customHeight="false" outlineLevel="0" collapsed="false">
      <c r="C99" s="64"/>
      <c r="D99" s="61"/>
      <c r="F99" s="61"/>
    </row>
    <row r="100" customFormat="false" ht="11.25" hidden="false" customHeight="false" outlineLevel="0" collapsed="false">
      <c r="C100" s="64"/>
      <c r="D100" s="61"/>
      <c r="F100" s="61"/>
      <c r="H100" s="48"/>
    </row>
    <row r="101" customFormat="false" ht="11.25" hidden="false" customHeight="false" outlineLevel="0" collapsed="false">
      <c r="C101" s="64"/>
      <c r="D101" s="61"/>
      <c r="F101" s="61"/>
      <c r="H101" s="48"/>
    </row>
    <row r="102" customFormat="false" ht="11.25" hidden="false" customHeight="false" outlineLevel="0" collapsed="false">
      <c r="C102" s="64"/>
      <c r="D102" s="61"/>
      <c r="F102" s="61"/>
      <c r="H102" s="48"/>
    </row>
    <row r="103" customFormat="false" ht="11.25" hidden="false" customHeight="false" outlineLevel="0" collapsed="false">
      <c r="C103" s="64"/>
      <c r="D103" s="61"/>
      <c r="F103" s="61"/>
      <c r="H103" s="48"/>
    </row>
    <row r="104" customFormat="false" ht="11.25" hidden="false" customHeight="false" outlineLevel="0" collapsed="false">
      <c r="C104" s="64"/>
      <c r="D104" s="61"/>
      <c r="F104" s="61"/>
      <c r="H104" s="48"/>
    </row>
    <row r="105" customFormat="false" ht="11.25" hidden="false" customHeight="false" outlineLevel="0" collapsed="false">
      <c r="C105" s="64"/>
      <c r="D105" s="61"/>
      <c r="F105" s="61"/>
      <c r="H105" s="48"/>
    </row>
    <row r="106" customFormat="false" ht="11.25" hidden="false" customHeight="false" outlineLevel="0" collapsed="false">
      <c r="C106" s="64"/>
      <c r="D106" s="61"/>
      <c r="F106" s="61"/>
    </row>
    <row r="107" customFormat="false" ht="11.25" hidden="false" customHeight="false" outlineLevel="0" collapsed="false">
      <c r="C107" s="64"/>
      <c r="D107" s="61"/>
      <c r="F107" s="61"/>
    </row>
    <row r="108" customFormat="false" ht="11.25" hidden="false" customHeight="false" outlineLevel="0" collapsed="false">
      <c r="C108" s="64"/>
      <c r="D108" s="61"/>
      <c r="F108" s="61"/>
    </row>
    <row r="109" customFormat="false" ht="11.25" hidden="false" customHeight="false" outlineLevel="0" collapsed="false">
      <c r="C109" s="64"/>
      <c r="D109" s="61"/>
      <c r="F109" s="61"/>
    </row>
    <row r="110" customFormat="false" ht="11.25" hidden="false" customHeight="false" outlineLevel="0" collapsed="false">
      <c r="C110" s="64"/>
      <c r="D110" s="61"/>
      <c r="F110" s="61"/>
    </row>
    <row r="111" customFormat="false" ht="11.25" hidden="false" customHeight="false" outlineLevel="0" collapsed="false">
      <c r="C111" s="64"/>
      <c r="D111" s="61"/>
      <c r="F111" s="61"/>
    </row>
    <row r="112" customFormat="false" ht="11.25" hidden="false" customHeight="false" outlineLevel="0" collapsed="false">
      <c r="C112" s="64"/>
      <c r="D112" s="61"/>
      <c r="F112" s="61"/>
      <c r="H112" s="48"/>
    </row>
    <row r="113" customFormat="false" ht="11.25" hidden="false" customHeight="false" outlineLevel="0" collapsed="false">
      <c r="C113" s="64"/>
      <c r="D113" s="61"/>
      <c r="F113" s="61"/>
    </row>
    <row r="114" customFormat="false" ht="11.25" hidden="false" customHeight="false" outlineLevel="0" collapsed="false">
      <c r="C114" s="64"/>
      <c r="D114" s="61"/>
      <c r="F114" s="61"/>
    </row>
    <row r="115" customFormat="false" ht="11.25" hidden="false" customHeight="false" outlineLevel="0" collapsed="false">
      <c r="C115" s="64"/>
      <c r="D115" s="61"/>
      <c r="F115" s="61"/>
    </row>
    <row r="116" customFormat="false" ht="11.25" hidden="false" customHeight="false" outlineLevel="0" collapsed="false">
      <c r="C116" s="64"/>
      <c r="D116" s="61"/>
      <c r="F116" s="61"/>
    </row>
    <row r="117" customFormat="false" ht="11.25" hidden="false" customHeight="false" outlineLevel="0" collapsed="false">
      <c r="C117" s="64"/>
      <c r="D117" s="61"/>
      <c r="F117" s="61"/>
    </row>
    <row r="118" customFormat="false" ht="11.25" hidden="false" customHeight="false" outlineLevel="0" collapsed="false">
      <c r="C118" s="64"/>
      <c r="D118" s="61"/>
      <c r="F118" s="61"/>
    </row>
    <row r="119" customFormat="false" ht="11.25" hidden="false" customHeight="false" outlineLevel="0" collapsed="false">
      <c r="C119" s="64"/>
      <c r="D119" s="61"/>
      <c r="F119" s="61"/>
    </row>
    <row r="120" customFormat="false" ht="11.25" hidden="false" customHeight="false" outlineLevel="0" collapsed="false">
      <c r="C120" s="64"/>
      <c r="D120" s="61"/>
      <c r="F120" s="61"/>
    </row>
    <row r="121" customFormat="false" ht="11.25" hidden="false" customHeight="false" outlineLevel="0" collapsed="false">
      <c r="C121" s="64"/>
      <c r="D121" s="61"/>
      <c r="F121" s="61"/>
    </row>
    <row r="122" customFormat="false" ht="11.25" hidden="false" customHeight="false" outlineLevel="0" collapsed="false">
      <c r="C122" s="64"/>
      <c r="D122" s="61"/>
      <c r="F122" s="61"/>
      <c r="H122" s="48"/>
    </row>
    <row r="123" customFormat="false" ht="11.25" hidden="false" customHeight="false" outlineLevel="0" collapsed="false">
      <c r="C123" s="64"/>
      <c r="D123" s="61"/>
      <c r="F123" s="61"/>
      <c r="H123" s="48"/>
    </row>
    <row r="124" customFormat="false" ht="11.25" hidden="false" customHeight="false" outlineLevel="0" collapsed="false">
      <c r="C124" s="64"/>
      <c r="D124" s="61"/>
      <c r="F124" s="61"/>
      <c r="H124" s="48"/>
    </row>
    <row r="125" customFormat="false" ht="11.25" hidden="false" customHeight="false" outlineLevel="0" collapsed="false">
      <c r="C125" s="64"/>
      <c r="D125" s="61"/>
      <c r="F125" s="61"/>
    </row>
    <row r="126" customFormat="false" ht="11.25" hidden="false" customHeight="false" outlineLevel="0" collapsed="false">
      <c r="C126" s="64"/>
      <c r="D126" s="61"/>
      <c r="F126" s="61"/>
    </row>
    <row r="127" customFormat="false" ht="11.25" hidden="false" customHeight="false" outlineLevel="0" collapsed="false">
      <c r="C127" s="64"/>
      <c r="D127" s="61"/>
      <c r="F127" s="61"/>
    </row>
    <row r="128" customFormat="false" ht="11.25" hidden="false" customHeight="false" outlineLevel="0" collapsed="false">
      <c r="C128" s="64"/>
      <c r="D128" s="61"/>
      <c r="F128" s="61"/>
    </row>
    <row r="129" customFormat="false" ht="11.25" hidden="false" customHeight="false" outlineLevel="0" collapsed="false">
      <c r="C129" s="64"/>
      <c r="D129" s="61"/>
      <c r="F129" s="61"/>
      <c r="H129" s="48"/>
    </row>
    <row r="130" customFormat="false" ht="11.25" hidden="false" customHeight="false" outlineLevel="0" collapsed="false">
      <c r="C130" s="64"/>
      <c r="D130" s="61"/>
      <c r="F130" s="61"/>
      <c r="H130" s="48"/>
    </row>
    <row r="131" customFormat="false" ht="11.25" hidden="false" customHeight="false" outlineLevel="0" collapsed="false">
      <c r="C131" s="64"/>
      <c r="D131" s="61"/>
      <c r="F131" s="61"/>
      <c r="H131" s="48"/>
    </row>
    <row r="132" customFormat="false" ht="11.25" hidden="false" customHeight="false" outlineLevel="0" collapsed="false">
      <c r="C132" s="64"/>
      <c r="D132" s="61"/>
      <c r="F132" s="61"/>
      <c r="H132" s="48"/>
    </row>
    <row r="133" customFormat="false" ht="11.25" hidden="false" customHeight="false" outlineLevel="0" collapsed="false">
      <c r="C133" s="64"/>
      <c r="D133" s="61"/>
      <c r="F133" s="61"/>
    </row>
    <row r="134" customFormat="false" ht="11.25" hidden="false" customHeight="false" outlineLevel="0" collapsed="false">
      <c r="C134" s="64"/>
      <c r="D134" s="61"/>
      <c r="F134" s="61"/>
    </row>
    <row r="135" customFormat="false" ht="11.25" hidden="false" customHeight="false" outlineLevel="0" collapsed="false">
      <c r="C135" s="64"/>
      <c r="D135" s="61"/>
      <c r="F135" s="61"/>
    </row>
    <row r="136" customFormat="false" ht="11.25" hidden="false" customHeight="false" outlineLevel="0" collapsed="false">
      <c r="C136" s="64"/>
      <c r="D136" s="61"/>
      <c r="F136" s="61"/>
    </row>
    <row r="137" customFormat="false" ht="11.25" hidden="false" customHeight="false" outlineLevel="0" collapsed="false">
      <c r="C137" s="64"/>
      <c r="D137" s="61"/>
      <c r="F137" s="61"/>
    </row>
    <row r="138" customFormat="false" ht="11.25" hidden="false" customHeight="false" outlineLevel="0" collapsed="false">
      <c r="C138" s="64"/>
      <c r="D138" s="61"/>
      <c r="F138" s="61"/>
      <c r="H138" s="48"/>
    </row>
    <row r="139" customFormat="false" ht="11.25" hidden="false" customHeight="false" outlineLevel="0" collapsed="false">
      <c r="A139" s="63"/>
      <c r="B139" s="57"/>
      <c r="C139" s="64"/>
      <c r="D139" s="61"/>
      <c r="F139" s="61"/>
    </row>
    <row r="140" customFormat="false" ht="11.25" hidden="false" customHeight="false" outlineLevel="0" collapsed="false">
      <c r="A140" s="63"/>
      <c r="B140" s="57"/>
      <c r="C140" s="64"/>
      <c r="D140" s="61"/>
      <c r="F140" s="61"/>
      <c r="H140" s="48"/>
    </row>
    <row r="141" customFormat="false" ht="11.25" hidden="false" customHeight="false" outlineLevel="0" collapsed="false">
      <c r="A141" s="63"/>
      <c r="B141" s="57"/>
      <c r="C141" s="64"/>
      <c r="D141" s="61"/>
      <c r="F141" s="61"/>
    </row>
    <row r="142" customFormat="false" ht="11.25" hidden="false" customHeight="false" outlineLevel="0" collapsed="false">
      <c r="C142" s="64"/>
      <c r="D142" s="61"/>
      <c r="F142" s="61"/>
    </row>
    <row r="143" customFormat="false" ht="11.25" hidden="false" customHeight="false" outlineLevel="0" collapsed="false">
      <c r="C143" s="64"/>
      <c r="D143" s="61"/>
      <c r="F143" s="61"/>
    </row>
    <row r="144" customFormat="false" ht="11.25" hidden="false" customHeight="false" outlineLevel="0" collapsed="false">
      <c r="A144" s="63"/>
      <c r="B144" s="57"/>
      <c r="C144" s="64"/>
      <c r="D144" s="61"/>
      <c r="F144" s="61"/>
      <c r="H144" s="48"/>
    </row>
    <row r="145" customFormat="false" ht="11.25" hidden="false" customHeight="false" outlineLevel="0" collapsed="false">
      <c r="A145" s="63"/>
      <c r="B145" s="57"/>
      <c r="C145" s="64"/>
      <c r="D145" s="61"/>
      <c r="F145" s="61"/>
    </row>
    <row r="146" customFormat="false" ht="11.25" hidden="false" customHeight="false" outlineLevel="0" collapsed="false">
      <c r="A146" s="63"/>
      <c r="B146" s="57"/>
      <c r="C146" s="64"/>
      <c r="D146" s="61"/>
      <c r="F146" s="61"/>
      <c r="H146" s="48"/>
    </row>
    <row r="147" customFormat="false" ht="11.25" hidden="false" customHeight="false" outlineLevel="0" collapsed="false">
      <c r="A147" s="63"/>
      <c r="B147" s="57"/>
      <c r="C147" s="64"/>
      <c r="D147" s="61"/>
      <c r="F147" s="61"/>
      <c r="H147" s="48"/>
    </row>
    <row r="148" customFormat="false" ht="11.25" hidden="false" customHeight="false" outlineLevel="0" collapsed="false">
      <c r="A148" s="63"/>
      <c r="B148" s="57"/>
      <c r="C148" s="64"/>
      <c r="D148" s="61"/>
      <c r="F148" s="61"/>
      <c r="H148" s="48"/>
    </row>
    <row r="149" customFormat="false" ht="11.25" hidden="false" customHeight="false" outlineLevel="0" collapsed="false">
      <c r="A149" s="63"/>
      <c r="B149" s="57"/>
      <c r="C149" s="64"/>
      <c r="D149" s="61"/>
      <c r="F149" s="61"/>
      <c r="H149" s="48"/>
    </row>
    <row r="150" customFormat="false" ht="11.25" hidden="false" customHeight="false" outlineLevel="0" collapsed="false">
      <c r="A150" s="63"/>
      <c r="B150" s="57"/>
      <c r="C150" s="64"/>
      <c r="D150" s="61"/>
      <c r="F150" s="61"/>
    </row>
    <row r="151" customFormat="false" ht="11.25" hidden="false" customHeight="false" outlineLevel="0" collapsed="false">
      <c r="A151" s="63"/>
      <c r="B151" s="57"/>
      <c r="C151" s="64"/>
      <c r="D151" s="61"/>
      <c r="F151" s="61"/>
      <c r="H151" s="65"/>
    </row>
    <row r="152" customFormat="false" ht="11.25" hidden="false" customHeight="false" outlineLevel="0" collapsed="false">
      <c r="A152" s="63"/>
      <c r="B152" s="57"/>
      <c r="C152" s="64"/>
      <c r="D152" s="61"/>
      <c r="F152" s="61"/>
    </row>
    <row r="153" customFormat="false" ht="11.25" hidden="false" customHeight="false" outlineLevel="0" collapsed="false">
      <c r="A153" s="63"/>
      <c r="B153" s="57"/>
      <c r="C153" s="64"/>
      <c r="D153" s="61"/>
      <c r="F153" s="61"/>
    </row>
    <row r="154" customFormat="false" ht="11.25" hidden="false" customHeight="false" outlineLevel="0" collapsed="false">
      <c r="A154" s="63"/>
      <c r="B154" s="57"/>
      <c r="C154" s="64"/>
      <c r="D154" s="61"/>
      <c r="F154" s="61"/>
    </row>
    <row r="155" customFormat="false" ht="11.25" hidden="false" customHeight="false" outlineLevel="0" collapsed="false">
      <c r="A155" s="63"/>
      <c r="B155" s="57"/>
      <c r="C155" s="64"/>
      <c r="D155" s="61"/>
      <c r="F155" s="61"/>
      <c r="H155" s="48"/>
    </row>
    <row r="156" customFormat="false" ht="11.25" hidden="false" customHeight="false" outlineLevel="0" collapsed="false">
      <c r="A156" s="63"/>
      <c r="B156" s="57"/>
      <c r="C156" s="64"/>
      <c r="D156" s="61"/>
      <c r="F156" s="61"/>
    </row>
    <row r="157" customFormat="false" ht="11.25" hidden="false" customHeight="false" outlineLevel="0" collapsed="false">
      <c r="A157" s="63"/>
      <c r="B157" s="57"/>
      <c r="C157" s="64"/>
      <c r="D157" s="61"/>
      <c r="F157" s="61"/>
      <c r="H157" s="48"/>
    </row>
    <row r="158" customFormat="false" ht="11.25" hidden="false" customHeight="false" outlineLevel="0" collapsed="false">
      <c r="A158" s="63"/>
      <c r="B158" s="57"/>
      <c r="C158" s="64"/>
      <c r="D158" s="61"/>
      <c r="F158" s="61"/>
      <c r="H158" s="48"/>
    </row>
    <row r="159" customFormat="false" ht="11.25" hidden="false" customHeight="false" outlineLevel="0" collapsed="false">
      <c r="A159" s="63"/>
      <c r="B159" s="57"/>
      <c r="C159" s="64"/>
      <c r="D159" s="61"/>
      <c r="F159" s="61"/>
    </row>
    <row r="160" customFormat="false" ht="11.25" hidden="false" customHeight="false" outlineLevel="0" collapsed="false">
      <c r="A160" s="63"/>
      <c r="B160" s="57"/>
      <c r="C160" s="64"/>
      <c r="D160" s="61"/>
      <c r="F160" s="61"/>
      <c r="H160" s="48"/>
    </row>
    <row r="161" customFormat="false" ht="11.25" hidden="false" customHeight="false" outlineLevel="0" collapsed="false">
      <c r="A161" s="63"/>
      <c r="B161" s="57"/>
      <c r="C161" s="64"/>
      <c r="D161" s="61"/>
      <c r="F161" s="61"/>
    </row>
    <row r="162" customFormat="false" ht="11.25" hidden="false" customHeight="false" outlineLevel="0" collapsed="false">
      <c r="A162" s="63"/>
      <c r="B162" s="57"/>
      <c r="C162" s="64"/>
      <c r="D162" s="61"/>
      <c r="F162" s="61"/>
    </row>
    <row r="163" customFormat="false" ht="11.25" hidden="false" customHeight="false" outlineLevel="0" collapsed="false">
      <c r="A163" s="63"/>
      <c r="B163" s="57"/>
      <c r="C163" s="64"/>
      <c r="D163" s="61"/>
      <c r="F163" s="61"/>
      <c r="H163" s="48"/>
    </row>
    <row r="164" customFormat="false" ht="11.25" hidden="false" customHeight="false" outlineLevel="0" collapsed="false">
      <c r="A164" s="63"/>
      <c r="B164" s="57"/>
      <c r="C164" s="64"/>
      <c r="D164" s="61"/>
      <c r="F164" s="61"/>
      <c r="H164" s="48"/>
    </row>
    <row r="165" customFormat="false" ht="11.25" hidden="false" customHeight="false" outlineLevel="0" collapsed="false">
      <c r="A165" s="63"/>
      <c r="B165" s="57"/>
      <c r="C165" s="64"/>
      <c r="D165" s="61"/>
      <c r="F165" s="61"/>
      <c r="H165" s="48"/>
    </row>
    <row r="166" customFormat="false" ht="11.25" hidden="false" customHeight="false" outlineLevel="0" collapsed="false">
      <c r="A166" s="63"/>
      <c r="B166" s="57"/>
      <c r="C166" s="64"/>
      <c r="D166" s="61"/>
      <c r="F166" s="61"/>
    </row>
    <row r="167" customFormat="false" ht="11.25" hidden="false" customHeight="false" outlineLevel="0" collapsed="false">
      <c r="A167" s="63"/>
      <c r="B167" s="57"/>
      <c r="C167" s="64"/>
      <c r="D167" s="61"/>
      <c r="F167" s="61"/>
    </row>
    <row r="168" customFormat="false" ht="11.25" hidden="false" customHeight="false" outlineLevel="0" collapsed="false">
      <c r="A168" s="63"/>
      <c r="B168" s="57"/>
      <c r="C168" s="64"/>
      <c r="D168" s="61"/>
      <c r="F168" s="61"/>
    </row>
    <row r="169" customFormat="false" ht="11.25" hidden="false" customHeight="false" outlineLevel="0" collapsed="false">
      <c r="A169" s="63"/>
      <c r="B169" s="57"/>
      <c r="C169" s="64"/>
      <c r="D169" s="61"/>
      <c r="F169" s="61"/>
    </row>
    <row r="170" customFormat="false" ht="11.25" hidden="false" customHeight="false" outlineLevel="0" collapsed="false">
      <c r="A170" s="63"/>
      <c r="B170" s="57"/>
    </row>
    <row r="171" customFormat="false" ht="11.25" hidden="false" customHeight="false" outlineLevel="0" collapsed="false">
      <c r="A171" s="63"/>
      <c r="B171" s="57"/>
    </row>
    <row r="172" customFormat="false" ht="11.25" hidden="false" customHeight="false" outlineLevel="0" collapsed="false">
      <c r="A172" s="63"/>
      <c r="B172" s="57"/>
    </row>
    <row r="173" customFormat="false" ht="11.25" hidden="false" customHeight="false" outlineLevel="0" collapsed="false">
      <c r="A173" s="63"/>
      <c r="B173" s="57"/>
      <c r="H173" s="48"/>
    </row>
    <row r="174" customFormat="false" ht="11.25" hidden="false" customHeight="false" outlineLevel="0" collapsed="false">
      <c r="A174" s="63"/>
      <c r="B174" s="57"/>
    </row>
    <row r="175" customFormat="false" ht="11.25" hidden="false" customHeight="false" outlineLevel="0" collapsed="false">
      <c r="A175" s="63"/>
      <c r="B175" s="57"/>
      <c r="H175" s="48"/>
    </row>
    <row r="176" customFormat="false" ht="11.25" hidden="false" customHeight="false" outlineLevel="0" collapsed="false">
      <c r="A176" s="63"/>
      <c r="B176" s="57"/>
      <c r="H176" s="48"/>
    </row>
    <row r="177" customFormat="false" ht="11.25" hidden="false" customHeight="false" outlineLevel="0" collapsed="false">
      <c r="A177" s="63"/>
      <c r="B177" s="57"/>
    </row>
    <row r="178" customFormat="false" ht="11.25" hidden="false" customHeight="false" outlineLevel="0" collapsed="false">
      <c r="A178" s="63"/>
      <c r="B178" s="57"/>
      <c r="H178" s="48"/>
    </row>
    <row r="179" customFormat="false" ht="11.25" hidden="false" customHeight="false" outlineLevel="0" collapsed="false">
      <c r="A179" s="63"/>
      <c r="B179" s="57"/>
      <c r="H179" s="48"/>
    </row>
    <row r="180" customFormat="false" ht="11.25" hidden="false" customHeight="false" outlineLevel="0" collapsed="false">
      <c r="A180" s="63"/>
      <c r="B180" s="57"/>
    </row>
    <row r="181" customFormat="false" ht="11.25" hidden="false" customHeight="false" outlineLevel="0" collapsed="false">
      <c r="A181" s="63"/>
      <c r="B181" s="57"/>
      <c r="H181" s="48"/>
    </row>
    <row r="182" customFormat="false" ht="11.25" hidden="false" customHeight="false" outlineLevel="0" collapsed="false">
      <c r="A182" s="63"/>
      <c r="B182" s="57"/>
      <c r="H182" s="48"/>
    </row>
    <row r="183" customFormat="false" ht="11.25" hidden="false" customHeight="false" outlineLevel="0" collapsed="false">
      <c r="A183" s="63"/>
      <c r="B183" s="57"/>
    </row>
    <row r="184" customFormat="false" ht="11.25" hidden="false" customHeight="false" outlineLevel="0" collapsed="false">
      <c r="A184" s="63"/>
      <c r="B184" s="57"/>
      <c r="H184" s="48"/>
    </row>
    <row r="185" customFormat="false" ht="11.25" hidden="false" customHeight="false" outlineLevel="0" collapsed="false">
      <c r="A185" s="63"/>
      <c r="B185" s="57"/>
    </row>
    <row r="186" customFormat="false" ht="11.25" hidden="false" customHeight="false" outlineLevel="0" collapsed="false">
      <c r="A186" s="63"/>
      <c r="B186" s="57"/>
      <c r="H186" s="48"/>
    </row>
    <row r="187" customFormat="false" ht="11.25" hidden="false" customHeight="false" outlineLevel="0" collapsed="false">
      <c r="A187" s="63"/>
      <c r="B187" s="57"/>
    </row>
    <row r="188" customFormat="false" ht="11.25" hidden="false" customHeight="false" outlineLevel="0" collapsed="false">
      <c r="A188" s="63"/>
      <c r="B188" s="57"/>
      <c r="H188" s="48"/>
    </row>
    <row r="189" customFormat="false" ht="11.25" hidden="false" customHeight="false" outlineLevel="0" collapsed="false">
      <c r="A189" s="63"/>
      <c r="B189" s="57"/>
      <c r="H189" s="48"/>
    </row>
    <row r="190" customFormat="false" ht="11.25" hidden="false" customHeight="false" outlineLevel="0" collapsed="false">
      <c r="A190" s="63"/>
      <c r="B190" s="57"/>
      <c r="H190" s="48"/>
    </row>
    <row r="191" customFormat="false" ht="11.25" hidden="false" customHeight="false" outlineLevel="0" collapsed="false">
      <c r="A191" s="63"/>
      <c r="B191" s="57"/>
    </row>
    <row r="192" customFormat="false" ht="11.25" hidden="false" customHeight="false" outlineLevel="0" collapsed="false">
      <c r="A192" s="63"/>
      <c r="B192" s="57"/>
      <c r="H192" s="48"/>
    </row>
    <row r="193" customFormat="false" ht="11.25" hidden="false" customHeight="false" outlineLevel="0" collapsed="false">
      <c r="A193" s="63"/>
      <c r="B193" s="57"/>
    </row>
    <row r="194" customFormat="false" ht="11.25" hidden="false" customHeight="false" outlineLevel="0" collapsed="false">
      <c r="A194" s="63"/>
      <c r="B194" s="57"/>
    </row>
    <row r="195" customFormat="false" ht="11.25" hidden="false" customHeight="false" outlineLevel="0" collapsed="false">
      <c r="A195" s="63"/>
      <c r="B195" s="57"/>
      <c r="H195" s="48"/>
    </row>
    <row r="196" customFormat="false" ht="11.25" hidden="false" customHeight="false" outlineLevel="0" collapsed="false">
      <c r="A196" s="63"/>
      <c r="B196" s="57"/>
      <c r="H196" s="48"/>
    </row>
    <row r="197" customFormat="false" ht="11.25" hidden="false" customHeight="false" outlineLevel="0" collapsed="false">
      <c r="A197" s="63"/>
      <c r="B197" s="57"/>
      <c r="H197" s="48"/>
    </row>
    <row r="198" customFormat="false" ht="11.25" hidden="false" customHeight="false" outlineLevel="0" collapsed="false">
      <c r="A198" s="63"/>
      <c r="B198" s="57"/>
    </row>
    <row r="199" customFormat="false" ht="11.25" hidden="false" customHeight="false" outlineLevel="0" collapsed="false">
      <c r="A199" s="63"/>
      <c r="B199" s="57"/>
    </row>
    <row r="200" customFormat="false" ht="11.25" hidden="false" customHeight="false" outlineLevel="0" collapsed="false">
      <c r="A200" s="63"/>
      <c r="B200" s="57"/>
    </row>
    <row r="201" customFormat="false" ht="11.25" hidden="false" customHeight="false" outlineLevel="0" collapsed="false">
      <c r="A201" s="63"/>
      <c r="B201" s="57"/>
    </row>
    <row r="202" customFormat="false" ht="11.25" hidden="false" customHeight="false" outlineLevel="0" collapsed="false">
      <c r="A202" s="63"/>
      <c r="B202" s="57"/>
    </row>
    <row r="203" customFormat="false" ht="11.25" hidden="false" customHeight="false" outlineLevel="0" collapsed="false">
      <c r="A203" s="63"/>
      <c r="B203" s="57"/>
    </row>
    <row r="204" customFormat="false" ht="11.25" hidden="false" customHeight="false" outlineLevel="0" collapsed="false">
      <c r="A204" s="63"/>
      <c r="B204" s="57"/>
      <c r="H204" s="48"/>
    </row>
    <row r="205" customFormat="false" ht="11.25" hidden="false" customHeight="false" outlineLevel="0" collapsed="false">
      <c r="A205" s="63"/>
      <c r="B205" s="57"/>
    </row>
    <row r="206" customFormat="false" ht="11.25" hidden="false" customHeight="false" outlineLevel="0" collapsed="false">
      <c r="A206" s="63"/>
      <c r="B206" s="57"/>
      <c r="H206" s="48"/>
    </row>
    <row r="207" customFormat="false" ht="11.25" hidden="false" customHeight="false" outlineLevel="0" collapsed="false">
      <c r="A207" s="63"/>
      <c r="B207" s="57"/>
    </row>
    <row r="208" customFormat="false" ht="11.25" hidden="false" customHeight="false" outlineLevel="0" collapsed="false">
      <c r="A208" s="63"/>
      <c r="B208" s="57"/>
    </row>
    <row r="209" customFormat="false" ht="11.25" hidden="false" customHeight="false" outlineLevel="0" collapsed="false">
      <c r="A209" s="63"/>
      <c r="B209" s="57"/>
    </row>
    <row r="210" customFormat="false" ht="11.25" hidden="false" customHeight="false" outlineLevel="0" collapsed="false">
      <c r="A210" s="63"/>
      <c r="B210" s="57"/>
      <c r="H210" s="48"/>
    </row>
    <row r="211" customFormat="false" ht="11.25" hidden="false" customHeight="false" outlineLevel="0" collapsed="false">
      <c r="A211" s="63"/>
      <c r="B211" s="57"/>
    </row>
    <row r="212" customFormat="false" ht="11.25" hidden="false" customHeight="false" outlineLevel="0" collapsed="false">
      <c r="A212" s="63"/>
      <c r="B212" s="57"/>
      <c r="H212" s="48"/>
    </row>
    <row r="213" customFormat="false" ht="11.25" hidden="false" customHeight="false" outlineLevel="0" collapsed="false">
      <c r="A213" s="63"/>
      <c r="B213" s="57"/>
    </row>
    <row r="214" customFormat="false" ht="11.25" hidden="false" customHeight="false" outlineLevel="0" collapsed="false">
      <c r="A214" s="63"/>
      <c r="B214" s="57"/>
    </row>
    <row r="215" customFormat="false" ht="11.25" hidden="false" customHeight="false" outlineLevel="0" collapsed="false">
      <c r="A215" s="63"/>
      <c r="B215" s="57"/>
    </row>
    <row r="216" customFormat="false" ht="11.25" hidden="false" customHeight="false" outlineLevel="0" collapsed="false">
      <c r="A216" s="63"/>
      <c r="B216" s="57"/>
      <c r="H216" s="48"/>
    </row>
    <row r="217" customFormat="false" ht="11.25" hidden="false" customHeight="false" outlineLevel="0" collapsed="false">
      <c r="A217" s="63"/>
      <c r="B217" s="57"/>
    </row>
    <row r="218" customFormat="false" ht="11.25" hidden="false" customHeight="false" outlineLevel="0" collapsed="false">
      <c r="A218" s="63"/>
      <c r="B218" s="57"/>
    </row>
    <row r="219" customFormat="false" ht="11.25" hidden="false" customHeight="false" outlineLevel="0" collapsed="false">
      <c r="A219" s="63"/>
      <c r="B219" s="57"/>
    </row>
    <row r="220" customFormat="false" ht="11.25" hidden="false" customHeight="false" outlineLevel="0" collapsed="false">
      <c r="A220" s="63"/>
      <c r="B220" s="57"/>
    </row>
    <row r="221" customFormat="false" ht="11.25" hidden="false" customHeight="false" outlineLevel="0" collapsed="false">
      <c r="A221" s="63"/>
      <c r="B221" s="57"/>
      <c r="H221" s="48"/>
    </row>
    <row r="222" customFormat="false" ht="11.25" hidden="false" customHeight="false" outlineLevel="0" collapsed="false">
      <c r="A222" s="63"/>
      <c r="B222" s="57"/>
    </row>
    <row r="223" customFormat="false" ht="11.25" hidden="false" customHeight="false" outlineLevel="0" collapsed="false">
      <c r="A223" s="63"/>
      <c r="B223" s="57"/>
      <c r="H223" s="48"/>
    </row>
    <row r="224" customFormat="false" ht="11.25" hidden="false" customHeight="false" outlineLevel="0" collapsed="false">
      <c r="A224" s="63"/>
      <c r="B224" s="57"/>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25"/>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9.109375" defaultRowHeight="9.75" zeroHeight="false" outlineLevelRow="0" outlineLevelCol="0"/>
  <cols>
    <col collapsed="false" customWidth="true" hidden="false" outlineLevel="0" max="1" min="1" style="66" width="5.56"/>
    <col collapsed="false" customWidth="false" hidden="false" outlineLevel="0" max="2" min="2" style="66" width="9.11"/>
    <col collapsed="false" customWidth="true" hidden="false" outlineLevel="0" max="3" min="3" style="66" width="6.56"/>
    <col collapsed="false" customWidth="true" hidden="false" outlineLevel="0" max="4" min="4" style="66" width="2.56"/>
    <col collapsed="false" customWidth="true" hidden="false" outlineLevel="0" max="5" min="5" style="66" width="8.44"/>
    <col collapsed="false" customWidth="true" hidden="false" outlineLevel="0" max="6" min="6" style="66" width="2.56"/>
    <col collapsed="false" customWidth="true" hidden="false" outlineLevel="0" max="7" min="7" style="66" width="7.11"/>
    <col collapsed="false" customWidth="true" hidden="false" outlineLevel="0" max="8" min="8" style="66" width="2.56"/>
    <col collapsed="false" customWidth="true" hidden="false" outlineLevel="0" max="9" min="9" style="66" width="7.11"/>
    <col collapsed="false" customWidth="true" hidden="false" outlineLevel="0" max="10" min="10" style="66" width="2.56"/>
    <col collapsed="false" customWidth="true" hidden="false" outlineLevel="0" max="11" min="11" style="66" width="7.11"/>
    <col collapsed="false" customWidth="true" hidden="false" outlineLevel="0" max="12" min="12" style="66" width="2.56"/>
    <col collapsed="false" customWidth="true" hidden="false" outlineLevel="0" max="13" min="13" style="66" width="7.11"/>
    <col collapsed="false" customWidth="true" hidden="false" outlineLevel="0" max="14" min="14" style="66" width="2.56"/>
    <col collapsed="false" customWidth="true" hidden="false" outlineLevel="0" max="15" min="15" style="66" width="7.11"/>
    <col collapsed="false" customWidth="true" hidden="false" outlineLevel="0" max="16" min="16" style="66" width="2.56"/>
    <col collapsed="false" customWidth="true" hidden="false" outlineLevel="0" max="17" min="17" style="66" width="7.11"/>
    <col collapsed="false" customWidth="true" hidden="false" outlineLevel="0" max="18" min="18" style="66" width="2.56"/>
    <col collapsed="false" customWidth="true" hidden="false" outlineLevel="0" max="19" min="19" style="66" width="7.11"/>
    <col collapsed="false" customWidth="true" hidden="false" outlineLevel="0" max="20" min="20" style="66" width="2.56"/>
    <col collapsed="false" customWidth="true" hidden="false" outlineLevel="0" max="21" min="21" style="66" width="7.11"/>
    <col collapsed="false" customWidth="true" hidden="false" outlineLevel="0" max="22" min="22" style="66" width="2.56"/>
    <col collapsed="false" customWidth="true" hidden="false" outlineLevel="0" max="23" min="23" style="66" width="4.44"/>
    <col collapsed="false" customWidth="true" hidden="false" outlineLevel="0" max="24" min="24" style="66" width="11.11"/>
    <col collapsed="false" customWidth="true" hidden="false" outlineLevel="0" max="25" min="25" style="66" width="2.56"/>
    <col collapsed="false" customWidth="false" hidden="false" outlineLevel="0" max="27" min="26" style="66" width="9.11"/>
    <col collapsed="false" customWidth="true" hidden="false" outlineLevel="0" max="28" min="28" style="66" width="2.56"/>
    <col collapsed="false" customWidth="false" hidden="false" outlineLevel="0" max="29" min="29" style="66" width="9.11"/>
    <col collapsed="false" customWidth="true" hidden="false" outlineLevel="0" max="30" min="30" style="66" width="2.56"/>
    <col collapsed="false" customWidth="false" hidden="false" outlineLevel="0" max="16384" min="31" style="66" width="9.11"/>
  </cols>
  <sheetData>
    <row r="1" customFormat="false" ht="9.75" hidden="false" customHeight="false" outlineLevel="0" collapsed="false">
      <c r="A1" s="67" t="s">
        <v>33</v>
      </c>
      <c r="B1" s="67" t="s">
        <v>94</v>
      </c>
      <c r="C1" s="67" t="s">
        <v>95</v>
      </c>
      <c r="E1" s="67" t="s">
        <v>96</v>
      </c>
      <c r="G1" s="67" t="s">
        <v>97</v>
      </c>
      <c r="I1" s="67" t="s">
        <v>98</v>
      </c>
      <c r="K1" s="67" t="s">
        <v>99</v>
      </c>
      <c r="M1" s="67" t="s">
        <v>100</v>
      </c>
      <c r="O1" s="67" t="s">
        <v>101</v>
      </c>
      <c r="Q1" s="67" t="s">
        <v>102</v>
      </c>
      <c r="S1" s="67" t="s">
        <v>103</v>
      </c>
      <c r="U1" s="67"/>
      <c r="W1" s="68" t="s">
        <v>104</v>
      </c>
      <c r="X1" s="68" t="s">
        <v>105</v>
      </c>
      <c r="Z1" s="67" t="s">
        <v>106</v>
      </c>
      <c r="AA1" s="67" t="s">
        <v>106</v>
      </c>
      <c r="AC1" s="67" t="s">
        <v>107</v>
      </c>
      <c r="AE1" s="67" t="s">
        <v>108</v>
      </c>
    </row>
    <row r="2" customFormat="false" ht="9.75" hidden="false" customHeight="false" outlineLevel="0" collapsed="false">
      <c r="A2" s="66" t="n">
        <v>1</v>
      </c>
      <c r="B2" s="66" t="s">
        <v>109</v>
      </c>
      <c r="C2" s="66" t="s">
        <v>98</v>
      </c>
      <c r="E2" s="66" t="s">
        <v>98</v>
      </c>
      <c r="G2" s="69" t="s">
        <v>47</v>
      </c>
      <c r="I2" s="66" t="s">
        <v>47</v>
      </c>
      <c r="K2" s="66" t="s">
        <v>47</v>
      </c>
      <c r="M2" s="66" t="s">
        <v>47</v>
      </c>
      <c r="O2" s="66" t="s">
        <v>47</v>
      </c>
      <c r="Q2" s="66" t="s">
        <v>47</v>
      </c>
      <c r="S2" s="66" t="s">
        <v>47</v>
      </c>
      <c r="W2" s="70" t="n">
        <v>10</v>
      </c>
      <c r="X2" s="70" t="s">
        <v>110</v>
      </c>
      <c r="Z2" s="66" t="s">
        <v>111</v>
      </c>
      <c r="AA2" s="66" t="s">
        <v>112</v>
      </c>
      <c r="AC2" s="66" t="s">
        <v>113</v>
      </c>
      <c r="AE2" s="66" t="s">
        <v>114</v>
      </c>
    </row>
    <row r="3" customFormat="false" ht="9.75" hidden="false" customHeight="false" outlineLevel="0" collapsed="false">
      <c r="A3" s="66" t="n">
        <v>2</v>
      </c>
      <c r="B3" s="66" t="s">
        <v>115</v>
      </c>
      <c r="C3" s="66" t="s">
        <v>99</v>
      </c>
      <c r="E3" s="66" t="s">
        <v>99</v>
      </c>
      <c r="G3" s="69" t="s">
        <v>48</v>
      </c>
      <c r="I3" s="66" t="s">
        <v>116</v>
      </c>
      <c r="K3" s="66" t="s">
        <v>116</v>
      </c>
      <c r="M3" s="66" t="s">
        <v>116</v>
      </c>
      <c r="O3" s="66" t="s">
        <v>116</v>
      </c>
      <c r="Q3" s="66" t="s">
        <v>116</v>
      </c>
      <c r="S3" s="66" t="s">
        <v>116</v>
      </c>
      <c r="W3" s="70" t="n">
        <v>20</v>
      </c>
      <c r="X3" s="70" t="s">
        <v>117</v>
      </c>
      <c r="Z3" s="66" t="s">
        <v>118</v>
      </c>
      <c r="AA3" s="66" t="s">
        <v>119</v>
      </c>
      <c r="AC3" s="66" t="s">
        <v>120</v>
      </c>
      <c r="AE3" s="66" t="s">
        <v>121</v>
      </c>
    </row>
    <row r="4" customFormat="false" ht="9.75" hidden="false" customHeight="false" outlineLevel="0" collapsed="false">
      <c r="A4" s="66" t="n">
        <v>3</v>
      </c>
      <c r="B4" s="66" t="s">
        <v>122</v>
      </c>
      <c r="C4" s="66" t="s">
        <v>100</v>
      </c>
      <c r="E4" s="66" t="s">
        <v>100</v>
      </c>
      <c r="G4" s="69" t="s">
        <v>49</v>
      </c>
      <c r="I4" s="66" t="s">
        <v>123</v>
      </c>
      <c r="K4" s="66" t="s">
        <v>123</v>
      </c>
      <c r="M4" s="66" t="s">
        <v>123</v>
      </c>
      <c r="O4" s="66" t="s">
        <v>123</v>
      </c>
      <c r="Q4" s="66" t="s">
        <v>124</v>
      </c>
      <c r="S4" s="66" t="s">
        <v>124</v>
      </c>
      <c r="W4" s="70" t="n">
        <v>30</v>
      </c>
      <c r="X4" s="70" t="s">
        <v>125</v>
      </c>
      <c r="Z4" s="66" t="s">
        <v>126</v>
      </c>
      <c r="AA4" s="66" t="s">
        <v>127</v>
      </c>
      <c r="AC4" s="66" t="s">
        <v>128</v>
      </c>
      <c r="AE4" s="66" t="s">
        <v>111</v>
      </c>
    </row>
    <row r="5" customFormat="false" ht="9.75" hidden="false" customHeight="false" outlineLevel="0" collapsed="false">
      <c r="A5" s="66" t="n">
        <v>4</v>
      </c>
      <c r="B5" s="66" t="s">
        <v>129</v>
      </c>
      <c r="C5" s="66" t="s">
        <v>101</v>
      </c>
      <c r="E5" s="66" t="s">
        <v>101</v>
      </c>
      <c r="G5" s="69" t="s">
        <v>50</v>
      </c>
      <c r="I5" s="66" t="s">
        <v>130</v>
      </c>
      <c r="K5" s="66" t="s">
        <v>130</v>
      </c>
      <c r="M5" s="66" t="s">
        <v>130</v>
      </c>
      <c r="O5" s="66" t="s">
        <v>130</v>
      </c>
      <c r="Q5" s="66" t="s">
        <v>123</v>
      </c>
      <c r="S5" s="66" t="s">
        <v>123</v>
      </c>
      <c r="W5" s="70" t="n">
        <v>40</v>
      </c>
      <c r="X5" s="70" t="s">
        <v>94</v>
      </c>
      <c r="Z5" s="66" t="s">
        <v>131</v>
      </c>
      <c r="AA5" s="66" t="s">
        <v>132</v>
      </c>
      <c r="AC5" s="66" t="s">
        <v>131</v>
      </c>
      <c r="AE5" s="66" t="s">
        <v>118</v>
      </c>
    </row>
    <row r="6" customFormat="false" ht="9.75" hidden="false" customHeight="false" outlineLevel="0" collapsed="false">
      <c r="A6" s="66" t="n">
        <v>5</v>
      </c>
      <c r="B6" s="66" t="s">
        <v>133</v>
      </c>
      <c r="C6" s="66" t="s">
        <v>102</v>
      </c>
      <c r="E6" s="66" t="s">
        <v>102</v>
      </c>
      <c r="G6" s="69" t="s">
        <v>51</v>
      </c>
      <c r="I6" s="66" t="s">
        <v>134</v>
      </c>
      <c r="K6" s="66" t="s">
        <v>134</v>
      </c>
      <c r="M6" s="66" t="s">
        <v>134</v>
      </c>
      <c r="O6" s="66" t="s">
        <v>134</v>
      </c>
      <c r="Q6" s="66" t="s">
        <v>135</v>
      </c>
      <c r="S6" s="66" t="s">
        <v>135</v>
      </c>
      <c r="W6" s="70" t="n">
        <v>50</v>
      </c>
      <c r="X6" s="70" t="s">
        <v>136</v>
      </c>
      <c r="Z6" s="66" t="s">
        <v>120</v>
      </c>
      <c r="AA6" s="66" t="s">
        <v>137</v>
      </c>
      <c r="AC6" s="66" t="s">
        <v>138</v>
      </c>
    </row>
    <row r="7" customFormat="false" ht="9.75" hidden="false" customHeight="false" outlineLevel="0" collapsed="false">
      <c r="A7" s="66" t="n">
        <v>6</v>
      </c>
      <c r="B7" s="66" t="s">
        <v>139</v>
      </c>
      <c r="C7" s="66" t="s">
        <v>103</v>
      </c>
      <c r="E7" s="66" t="s">
        <v>103</v>
      </c>
      <c r="G7" s="69" t="s">
        <v>52</v>
      </c>
      <c r="I7" s="66" t="s">
        <v>140</v>
      </c>
      <c r="K7" s="66" t="s">
        <v>140</v>
      </c>
      <c r="M7" s="66" t="s">
        <v>140</v>
      </c>
      <c r="O7" s="66" t="s">
        <v>140</v>
      </c>
      <c r="Q7" s="66" t="s">
        <v>130</v>
      </c>
      <c r="S7" s="66" t="s">
        <v>130</v>
      </c>
      <c r="W7" s="70" t="n">
        <v>60</v>
      </c>
      <c r="X7" s="70" t="s">
        <v>141</v>
      </c>
      <c r="Z7" s="66" t="s">
        <v>142</v>
      </c>
      <c r="AA7" s="66" t="s">
        <v>143</v>
      </c>
    </row>
    <row r="8" customFormat="false" ht="9.75" hidden="false" customHeight="false" outlineLevel="0" collapsed="false">
      <c r="A8" s="66" t="n">
        <v>7</v>
      </c>
      <c r="B8" s="66" t="s">
        <v>144</v>
      </c>
      <c r="C8" s="66" t="s">
        <v>103</v>
      </c>
      <c r="G8" s="69" t="s">
        <v>53</v>
      </c>
      <c r="Q8" s="66" t="s">
        <v>134</v>
      </c>
      <c r="S8" s="66" t="s">
        <v>134</v>
      </c>
      <c r="W8" s="70" t="n">
        <v>70</v>
      </c>
      <c r="X8" s="70" t="s">
        <v>119</v>
      </c>
    </row>
    <row r="9" customFormat="false" ht="9.75" hidden="false" customHeight="false" outlineLevel="0" collapsed="false">
      <c r="A9" s="66" t="n">
        <v>8</v>
      </c>
      <c r="B9" s="66" t="s">
        <v>145</v>
      </c>
      <c r="C9" s="66" t="s">
        <v>103</v>
      </c>
      <c r="G9" s="69" t="s">
        <v>54</v>
      </c>
      <c r="Q9" s="66" t="s">
        <v>140</v>
      </c>
      <c r="S9" s="66" t="s">
        <v>140</v>
      </c>
      <c r="W9" s="70" t="n">
        <v>80</v>
      </c>
      <c r="X9" s="70" t="s">
        <v>146</v>
      </c>
    </row>
    <row r="10" customFormat="false" ht="9.75" hidden="false" customHeight="false" outlineLevel="0" collapsed="false">
      <c r="G10" s="69" t="s">
        <v>55</v>
      </c>
      <c r="W10" s="70" t="n">
        <v>90</v>
      </c>
      <c r="X10" s="70" t="s">
        <v>147</v>
      </c>
    </row>
    <row r="11" customFormat="false" ht="9.75" hidden="false" customHeight="false" outlineLevel="0" collapsed="false">
      <c r="W11" s="70" t="n">
        <v>100</v>
      </c>
      <c r="X11" s="70" t="s">
        <v>148</v>
      </c>
    </row>
    <row r="12" customFormat="false" ht="9.75" hidden="false" customHeight="false" outlineLevel="0" collapsed="false">
      <c r="W12" s="66" t="n">
        <v>110</v>
      </c>
      <c r="X12" s="66" t="s">
        <v>149</v>
      </c>
    </row>
    <row r="13" customFormat="false" ht="9.75" hidden="false" customHeight="false" outlineLevel="0" collapsed="false">
      <c r="W13" s="66" t="n">
        <v>120</v>
      </c>
      <c r="X13" s="66" t="s">
        <v>150</v>
      </c>
    </row>
    <row r="14" customFormat="false" ht="9.75" hidden="false" customHeight="false" outlineLevel="0" collapsed="false">
      <c r="W14" s="66" t="n">
        <v>130</v>
      </c>
      <c r="X14" s="66" t="s">
        <v>132</v>
      </c>
    </row>
    <row r="15" customFormat="false" ht="9.75" hidden="false" customHeight="false" outlineLevel="0" collapsed="false">
      <c r="W15" s="66" t="n">
        <v>140</v>
      </c>
      <c r="X15" s="66" t="s">
        <v>151</v>
      </c>
    </row>
    <row r="16" customFormat="false" ht="9.75" hidden="false" customHeight="false" outlineLevel="0" collapsed="false">
      <c r="W16" s="66" t="n">
        <v>150</v>
      </c>
      <c r="X16" s="66" t="s">
        <v>152</v>
      </c>
    </row>
    <row r="17" customFormat="false" ht="9.75" hidden="false" customHeight="false" outlineLevel="0" collapsed="false">
      <c r="F17" s="71"/>
      <c r="G17" s="71"/>
    </row>
    <row r="18" customFormat="false" ht="9.75" hidden="false" customHeight="false" outlineLevel="0" collapsed="false">
      <c r="F18" s="71"/>
      <c r="G18" s="71"/>
    </row>
    <row r="19" customFormat="false" ht="9.75" hidden="false" customHeight="false" outlineLevel="0" collapsed="false">
      <c r="F19" s="71"/>
      <c r="G19" s="71"/>
    </row>
    <row r="20" customFormat="false" ht="9.75" hidden="false" customHeight="false" outlineLevel="0" collapsed="false">
      <c r="F20" s="71"/>
      <c r="G20" s="71"/>
    </row>
    <row r="21" customFormat="false" ht="9.75" hidden="false" customHeight="false" outlineLevel="0" collapsed="false">
      <c r="F21" s="71"/>
      <c r="G21" s="71"/>
    </row>
    <row r="22" customFormat="false" ht="9.75" hidden="false" customHeight="false" outlineLevel="0" collapsed="false">
      <c r="F22" s="71"/>
      <c r="G22" s="71"/>
    </row>
    <row r="23" customFormat="false" ht="9.75" hidden="false" customHeight="false" outlineLevel="0" collapsed="false">
      <c r="F23" s="71"/>
      <c r="G23" s="71"/>
    </row>
    <row r="24" customFormat="false" ht="9.75" hidden="false" customHeight="false" outlineLevel="0" collapsed="false">
      <c r="F24" s="71"/>
      <c r="G24" s="71"/>
    </row>
    <row r="25" customFormat="false" ht="9.75" hidden="false" customHeight="false" outlineLevel="0" collapsed="false">
      <c r="F25" s="71"/>
      <c r="G25" s="71"/>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176"/>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9.109375" defaultRowHeight="9.75" zeroHeight="false" outlineLevelRow="0" outlineLevelCol="0"/>
  <cols>
    <col collapsed="false" customWidth="true" hidden="false" outlineLevel="0" max="1" min="1" style="44" width="5.56"/>
    <col collapsed="false" customWidth="true" hidden="false" outlineLevel="0" max="2" min="2" style="46" width="8.11"/>
    <col collapsed="false" customWidth="true" hidden="false" outlineLevel="0" max="4" min="3" style="44" width="4.56"/>
    <col collapsed="false" customWidth="true" hidden="false" outlineLevel="0" max="6" min="5" style="45" width="10.56"/>
    <col collapsed="false" customWidth="true" hidden="false" outlineLevel="0" max="7" min="7" style="48" width="6.56"/>
    <col collapsed="false" customWidth="true" hidden="false" outlineLevel="0" max="8" min="8" style="45" width="5.56"/>
    <col collapsed="false" customWidth="true" hidden="false" outlineLevel="0" max="9" min="9" style="45" width="44.56"/>
    <col collapsed="false" customWidth="true" hidden="false" outlineLevel="0" max="10" min="10" style="72" width="8.56"/>
    <col collapsed="false" customWidth="true" hidden="false" outlineLevel="0" max="11" min="11" style="72" width="7.11"/>
    <col collapsed="false" customWidth="false" hidden="false" outlineLevel="0" max="256" min="12" style="72" width="9.11"/>
    <col collapsed="false" customWidth="true" hidden="false" outlineLevel="0" max="257" min="257" style="72" width="5.56"/>
    <col collapsed="false" customWidth="true" hidden="false" outlineLevel="0" max="258" min="258" style="72" width="8.11"/>
    <col collapsed="false" customWidth="true" hidden="false" outlineLevel="0" max="260" min="259" style="72" width="4.56"/>
    <col collapsed="false" customWidth="true" hidden="false" outlineLevel="0" max="262" min="261" style="72" width="10.56"/>
    <col collapsed="false" customWidth="true" hidden="false" outlineLevel="0" max="263" min="263" style="72" width="6.56"/>
    <col collapsed="false" customWidth="true" hidden="false" outlineLevel="0" max="264" min="264" style="72" width="5.56"/>
    <col collapsed="false" customWidth="true" hidden="false" outlineLevel="0" max="265" min="265" style="72" width="44.56"/>
    <col collapsed="false" customWidth="true" hidden="false" outlineLevel="0" max="266" min="266" style="72" width="8.56"/>
    <col collapsed="false" customWidth="true" hidden="false" outlineLevel="0" max="267" min="267" style="72" width="7.11"/>
    <col collapsed="false" customWidth="false" hidden="false" outlineLevel="0" max="512" min="268" style="72" width="9.11"/>
    <col collapsed="false" customWidth="true" hidden="false" outlineLevel="0" max="513" min="513" style="72" width="5.56"/>
    <col collapsed="false" customWidth="true" hidden="false" outlineLevel="0" max="514" min="514" style="72" width="8.11"/>
    <col collapsed="false" customWidth="true" hidden="false" outlineLevel="0" max="516" min="515" style="72" width="4.56"/>
    <col collapsed="false" customWidth="true" hidden="false" outlineLevel="0" max="518" min="517" style="72" width="10.56"/>
    <col collapsed="false" customWidth="true" hidden="false" outlineLevel="0" max="519" min="519" style="72" width="6.56"/>
    <col collapsed="false" customWidth="true" hidden="false" outlineLevel="0" max="520" min="520" style="72" width="5.56"/>
    <col collapsed="false" customWidth="true" hidden="false" outlineLevel="0" max="521" min="521" style="72" width="44.56"/>
    <col collapsed="false" customWidth="true" hidden="false" outlineLevel="0" max="522" min="522" style="72" width="8.56"/>
    <col collapsed="false" customWidth="true" hidden="false" outlineLevel="0" max="523" min="523" style="72" width="7.11"/>
    <col collapsed="false" customWidth="false" hidden="false" outlineLevel="0" max="768" min="524" style="72" width="9.11"/>
    <col collapsed="false" customWidth="true" hidden="false" outlineLevel="0" max="769" min="769" style="72" width="5.56"/>
    <col collapsed="false" customWidth="true" hidden="false" outlineLevel="0" max="770" min="770" style="72" width="8.11"/>
    <col collapsed="false" customWidth="true" hidden="false" outlineLevel="0" max="772" min="771" style="72" width="4.56"/>
    <col collapsed="false" customWidth="true" hidden="false" outlineLevel="0" max="774" min="773" style="72" width="10.56"/>
    <col collapsed="false" customWidth="true" hidden="false" outlineLevel="0" max="775" min="775" style="72" width="6.56"/>
    <col collapsed="false" customWidth="true" hidden="false" outlineLevel="0" max="776" min="776" style="72" width="5.56"/>
    <col collapsed="false" customWidth="true" hidden="false" outlineLevel="0" max="777" min="777" style="72" width="44.56"/>
    <col collapsed="false" customWidth="true" hidden="false" outlineLevel="0" max="778" min="778" style="72" width="8.56"/>
    <col collapsed="false" customWidth="true" hidden="false" outlineLevel="0" max="779" min="779" style="72" width="7.11"/>
    <col collapsed="false" customWidth="false" hidden="false" outlineLevel="0" max="1024" min="780" style="72" width="9.11"/>
    <col collapsed="false" customWidth="true" hidden="false" outlineLevel="0" max="1025" min="1025" style="72" width="5.56"/>
    <col collapsed="false" customWidth="true" hidden="false" outlineLevel="0" max="1026" min="1026" style="72" width="8.11"/>
    <col collapsed="false" customWidth="true" hidden="false" outlineLevel="0" max="1028" min="1027" style="72" width="4.56"/>
    <col collapsed="false" customWidth="true" hidden="false" outlineLevel="0" max="1030" min="1029" style="72" width="10.56"/>
    <col collapsed="false" customWidth="true" hidden="false" outlineLevel="0" max="1031" min="1031" style="72" width="6.56"/>
    <col collapsed="false" customWidth="true" hidden="false" outlineLevel="0" max="1032" min="1032" style="72" width="5.56"/>
    <col collapsed="false" customWidth="true" hidden="false" outlineLevel="0" max="1033" min="1033" style="72" width="44.56"/>
    <col collapsed="false" customWidth="true" hidden="false" outlineLevel="0" max="1034" min="1034" style="72" width="8.56"/>
    <col collapsed="false" customWidth="true" hidden="false" outlineLevel="0" max="1035" min="1035" style="72" width="7.11"/>
    <col collapsed="false" customWidth="false" hidden="false" outlineLevel="0" max="1280" min="1036" style="72" width="9.11"/>
    <col collapsed="false" customWidth="true" hidden="false" outlineLevel="0" max="1281" min="1281" style="72" width="5.56"/>
    <col collapsed="false" customWidth="true" hidden="false" outlineLevel="0" max="1282" min="1282" style="72" width="8.11"/>
    <col collapsed="false" customWidth="true" hidden="false" outlineLevel="0" max="1284" min="1283" style="72" width="4.56"/>
    <col collapsed="false" customWidth="true" hidden="false" outlineLevel="0" max="1286" min="1285" style="72" width="10.56"/>
    <col collapsed="false" customWidth="true" hidden="false" outlineLevel="0" max="1287" min="1287" style="72" width="6.56"/>
    <col collapsed="false" customWidth="true" hidden="false" outlineLevel="0" max="1288" min="1288" style="72" width="5.56"/>
    <col collapsed="false" customWidth="true" hidden="false" outlineLevel="0" max="1289" min="1289" style="72" width="44.56"/>
    <col collapsed="false" customWidth="true" hidden="false" outlineLevel="0" max="1290" min="1290" style="72" width="8.56"/>
    <col collapsed="false" customWidth="true" hidden="false" outlineLevel="0" max="1291" min="1291" style="72" width="7.11"/>
    <col collapsed="false" customWidth="false" hidden="false" outlineLevel="0" max="1536" min="1292" style="72" width="9.11"/>
    <col collapsed="false" customWidth="true" hidden="false" outlineLevel="0" max="1537" min="1537" style="72" width="5.56"/>
    <col collapsed="false" customWidth="true" hidden="false" outlineLevel="0" max="1538" min="1538" style="72" width="8.11"/>
    <col collapsed="false" customWidth="true" hidden="false" outlineLevel="0" max="1540" min="1539" style="72" width="4.56"/>
    <col collapsed="false" customWidth="true" hidden="false" outlineLevel="0" max="1542" min="1541" style="72" width="10.56"/>
    <col collapsed="false" customWidth="true" hidden="false" outlineLevel="0" max="1543" min="1543" style="72" width="6.56"/>
    <col collapsed="false" customWidth="true" hidden="false" outlineLevel="0" max="1544" min="1544" style="72" width="5.56"/>
    <col collapsed="false" customWidth="true" hidden="false" outlineLevel="0" max="1545" min="1545" style="72" width="44.56"/>
    <col collapsed="false" customWidth="true" hidden="false" outlineLevel="0" max="1546" min="1546" style="72" width="8.56"/>
    <col collapsed="false" customWidth="true" hidden="false" outlineLevel="0" max="1547" min="1547" style="72" width="7.11"/>
    <col collapsed="false" customWidth="false" hidden="false" outlineLevel="0" max="1792" min="1548" style="72" width="9.11"/>
    <col collapsed="false" customWidth="true" hidden="false" outlineLevel="0" max="1793" min="1793" style="72" width="5.56"/>
    <col collapsed="false" customWidth="true" hidden="false" outlineLevel="0" max="1794" min="1794" style="72" width="8.11"/>
    <col collapsed="false" customWidth="true" hidden="false" outlineLevel="0" max="1796" min="1795" style="72" width="4.56"/>
    <col collapsed="false" customWidth="true" hidden="false" outlineLevel="0" max="1798" min="1797" style="72" width="10.56"/>
    <col collapsed="false" customWidth="true" hidden="false" outlineLevel="0" max="1799" min="1799" style="72" width="6.56"/>
    <col collapsed="false" customWidth="true" hidden="false" outlineLevel="0" max="1800" min="1800" style="72" width="5.56"/>
    <col collapsed="false" customWidth="true" hidden="false" outlineLevel="0" max="1801" min="1801" style="72" width="44.56"/>
    <col collapsed="false" customWidth="true" hidden="false" outlineLevel="0" max="1802" min="1802" style="72" width="8.56"/>
    <col collapsed="false" customWidth="true" hidden="false" outlineLevel="0" max="1803" min="1803" style="72" width="7.11"/>
    <col collapsed="false" customWidth="false" hidden="false" outlineLevel="0" max="2048" min="1804" style="72" width="9.11"/>
    <col collapsed="false" customWidth="true" hidden="false" outlineLevel="0" max="2049" min="2049" style="72" width="5.56"/>
    <col collapsed="false" customWidth="true" hidden="false" outlineLevel="0" max="2050" min="2050" style="72" width="8.11"/>
    <col collapsed="false" customWidth="true" hidden="false" outlineLevel="0" max="2052" min="2051" style="72" width="4.56"/>
    <col collapsed="false" customWidth="true" hidden="false" outlineLevel="0" max="2054" min="2053" style="72" width="10.56"/>
    <col collapsed="false" customWidth="true" hidden="false" outlineLevel="0" max="2055" min="2055" style="72" width="6.56"/>
    <col collapsed="false" customWidth="true" hidden="false" outlineLevel="0" max="2056" min="2056" style="72" width="5.56"/>
    <col collapsed="false" customWidth="true" hidden="false" outlineLevel="0" max="2057" min="2057" style="72" width="44.56"/>
    <col collapsed="false" customWidth="true" hidden="false" outlineLevel="0" max="2058" min="2058" style="72" width="8.56"/>
    <col collapsed="false" customWidth="true" hidden="false" outlineLevel="0" max="2059" min="2059" style="72" width="7.11"/>
    <col collapsed="false" customWidth="false" hidden="false" outlineLevel="0" max="2304" min="2060" style="72" width="9.11"/>
    <col collapsed="false" customWidth="true" hidden="false" outlineLevel="0" max="2305" min="2305" style="72" width="5.56"/>
    <col collapsed="false" customWidth="true" hidden="false" outlineLevel="0" max="2306" min="2306" style="72" width="8.11"/>
    <col collapsed="false" customWidth="true" hidden="false" outlineLevel="0" max="2308" min="2307" style="72" width="4.56"/>
    <col collapsed="false" customWidth="true" hidden="false" outlineLevel="0" max="2310" min="2309" style="72" width="10.56"/>
    <col collapsed="false" customWidth="true" hidden="false" outlineLevel="0" max="2311" min="2311" style="72" width="6.56"/>
    <col collapsed="false" customWidth="true" hidden="false" outlineLevel="0" max="2312" min="2312" style="72" width="5.56"/>
    <col collapsed="false" customWidth="true" hidden="false" outlineLevel="0" max="2313" min="2313" style="72" width="44.56"/>
    <col collapsed="false" customWidth="true" hidden="false" outlineLevel="0" max="2314" min="2314" style="72" width="8.56"/>
    <col collapsed="false" customWidth="true" hidden="false" outlineLevel="0" max="2315" min="2315" style="72" width="7.11"/>
    <col collapsed="false" customWidth="false" hidden="false" outlineLevel="0" max="2560" min="2316" style="72" width="9.11"/>
    <col collapsed="false" customWidth="true" hidden="false" outlineLevel="0" max="2561" min="2561" style="72" width="5.56"/>
    <col collapsed="false" customWidth="true" hidden="false" outlineLevel="0" max="2562" min="2562" style="72" width="8.11"/>
    <col collapsed="false" customWidth="true" hidden="false" outlineLevel="0" max="2564" min="2563" style="72" width="4.56"/>
    <col collapsed="false" customWidth="true" hidden="false" outlineLevel="0" max="2566" min="2565" style="72" width="10.56"/>
    <col collapsed="false" customWidth="true" hidden="false" outlineLevel="0" max="2567" min="2567" style="72" width="6.56"/>
    <col collapsed="false" customWidth="true" hidden="false" outlineLevel="0" max="2568" min="2568" style="72" width="5.56"/>
    <col collapsed="false" customWidth="true" hidden="false" outlineLevel="0" max="2569" min="2569" style="72" width="44.56"/>
    <col collapsed="false" customWidth="true" hidden="false" outlineLevel="0" max="2570" min="2570" style="72" width="8.56"/>
    <col collapsed="false" customWidth="true" hidden="false" outlineLevel="0" max="2571" min="2571" style="72" width="7.11"/>
    <col collapsed="false" customWidth="false" hidden="false" outlineLevel="0" max="2816" min="2572" style="72" width="9.11"/>
    <col collapsed="false" customWidth="true" hidden="false" outlineLevel="0" max="2817" min="2817" style="72" width="5.56"/>
    <col collapsed="false" customWidth="true" hidden="false" outlineLevel="0" max="2818" min="2818" style="72" width="8.11"/>
    <col collapsed="false" customWidth="true" hidden="false" outlineLevel="0" max="2820" min="2819" style="72" width="4.56"/>
    <col collapsed="false" customWidth="true" hidden="false" outlineLevel="0" max="2822" min="2821" style="72" width="10.56"/>
    <col collapsed="false" customWidth="true" hidden="false" outlineLevel="0" max="2823" min="2823" style="72" width="6.56"/>
    <col collapsed="false" customWidth="true" hidden="false" outlineLevel="0" max="2824" min="2824" style="72" width="5.56"/>
    <col collapsed="false" customWidth="true" hidden="false" outlineLevel="0" max="2825" min="2825" style="72" width="44.56"/>
    <col collapsed="false" customWidth="true" hidden="false" outlineLevel="0" max="2826" min="2826" style="72" width="8.56"/>
    <col collapsed="false" customWidth="true" hidden="false" outlineLevel="0" max="2827" min="2827" style="72" width="7.11"/>
    <col collapsed="false" customWidth="false" hidden="false" outlineLevel="0" max="3072" min="2828" style="72" width="9.11"/>
    <col collapsed="false" customWidth="true" hidden="false" outlineLevel="0" max="3073" min="3073" style="72" width="5.56"/>
    <col collapsed="false" customWidth="true" hidden="false" outlineLevel="0" max="3074" min="3074" style="72" width="8.11"/>
    <col collapsed="false" customWidth="true" hidden="false" outlineLevel="0" max="3076" min="3075" style="72" width="4.56"/>
    <col collapsed="false" customWidth="true" hidden="false" outlineLevel="0" max="3078" min="3077" style="72" width="10.56"/>
    <col collapsed="false" customWidth="true" hidden="false" outlineLevel="0" max="3079" min="3079" style="72" width="6.56"/>
    <col collapsed="false" customWidth="true" hidden="false" outlineLevel="0" max="3080" min="3080" style="72" width="5.56"/>
    <col collapsed="false" customWidth="true" hidden="false" outlineLevel="0" max="3081" min="3081" style="72" width="44.56"/>
    <col collapsed="false" customWidth="true" hidden="false" outlineLevel="0" max="3082" min="3082" style="72" width="8.56"/>
    <col collapsed="false" customWidth="true" hidden="false" outlineLevel="0" max="3083" min="3083" style="72" width="7.11"/>
    <col collapsed="false" customWidth="false" hidden="false" outlineLevel="0" max="3328" min="3084" style="72" width="9.11"/>
    <col collapsed="false" customWidth="true" hidden="false" outlineLevel="0" max="3329" min="3329" style="72" width="5.56"/>
    <col collapsed="false" customWidth="true" hidden="false" outlineLevel="0" max="3330" min="3330" style="72" width="8.11"/>
    <col collapsed="false" customWidth="true" hidden="false" outlineLevel="0" max="3332" min="3331" style="72" width="4.56"/>
    <col collapsed="false" customWidth="true" hidden="false" outlineLevel="0" max="3334" min="3333" style="72" width="10.56"/>
    <col collapsed="false" customWidth="true" hidden="false" outlineLevel="0" max="3335" min="3335" style="72" width="6.56"/>
    <col collapsed="false" customWidth="true" hidden="false" outlineLevel="0" max="3336" min="3336" style="72" width="5.56"/>
    <col collapsed="false" customWidth="true" hidden="false" outlineLevel="0" max="3337" min="3337" style="72" width="44.56"/>
    <col collapsed="false" customWidth="true" hidden="false" outlineLevel="0" max="3338" min="3338" style="72" width="8.56"/>
    <col collapsed="false" customWidth="true" hidden="false" outlineLevel="0" max="3339" min="3339" style="72" width="7.11"/>
    <col collapsed="false" customWidth="false" hidden="false" outlineLevel="0" max="3584" min="3340" style="72" width="9.11"/>
    <col collapsed="false" customWidth="true" hidden="false" outlineLevel="0" max="3585" min="3585" style="72" width="5.56"/>
    <col collapsed="false" customWidth="true" hidden="false" outlineLevel="0" max="3586" min="3586" style="72" width="8.11"/>
    <col collapsed="false" customWidth="true" hidden="false" outlineLevel="0" max="3588" min="3587" style="72" width="4.56"/>
    <col collapsed="false" customWidth="true" hidden="false" outlineLevel="0" max="3590" min="3589" style="72" width="10.56"/>
    <col collapsed="false" customWidth="true" hidden="false" outlineLevel="0" max="3591" min="3591" style="72" width="6.56"/>
    <col collapsed="false" customWidth="true" hidden="false" outlineLevel="0" max="3592" min="3592" style="72" width="5.56"/>
    <col collapsed="false" customWidth="true" hidden="false" outlineLevel="0" max="3593" min="3593" style="72" width="44.56"/>
    <col collapsed="false" customWidth="true" hidden="false" outlineLevel="0" max="3594" min="3594" style="72" width="8.56"/>
    <col collapsed="false" customWidth="true" hidden="false" outlineLevel="0" max="3595" min="3595" style="72" width="7.11"/>
    <col collapsed="false" customWidth="false" hidden="false" outlineLevel="0" max="3840" min="3596" style="72" width="9.11"/>
    <col collapsed="false" customWidth="true" hidden="false" outlineLevel="0" max="3841" min="3841" style="72" width="5.56"/>
    <col collapsed="false" customWidth="true" hidden="false" outlineLevel="0" max="3842" min="3842" style="72" width="8.11"/>
    <col collapsed="false" customWidth="true" hidden="false" outlineLevel="0" max="3844" min="3843" style="72" width="4.56"/>
    <col collapsed="false" customWidth="true" hidden="false" outlineLevel="0" max="3846" min="3845" style="72" width="10.56"/>
    <col collapsed="false" customWidth="true" hidden="false" outlineLevel="0" max="3847" min="3847" style="72" width="6.56"/>
    <col collapsed="false" customWidth="true" hidden="false" outlineLevel="0" max="3848" min="3848" style="72" width="5.56"/>
    <col collapsed="false" customWidth="true" hidden="false" outlineLevel="0" max="3849" min="3849" style="72" width="44.56"/>
    <col collapsed="false" customWidth="true" hidden="false" outlineLevel="0" max="3850" min="3850" style="72" width="8.56"/>
    <col collapsed="false" customWidth="true" hidden="false" outlineLevel="0" max="3851" min="3851" style="72" width="7.11"/>
    <col collapsed="false" customWidth="false" hidden="false" outlineLevel="0" max="4096" min="3852" style="72" width="9.11"/>
    <col collapsed="false" customWidth="true" hidden="false" outlineLevel="0" max="4097" min="4097" style="72" width="5.56"/>
    <col collapsed="false" customWidth="true" hidden="false" outlineLevel="0" max="4098" min="4098" style="72" width="8.11"/>
    <col collapsed="false" customWidth="true" hidden="false" outlineLevel="0" max="4100" min="4099" style="72" width="4.56"/>
    <col collapsed="false" customWidth="true" hidden="false" outlineLevel="0" max="4102" min="4101" style="72" width="10.56"/>
    <col collapsed="false" customWidth="true" hidden="false" outlineLevel="0" max="4103" min="4103" style="72" width="6.56"/>
    <col collapsed="false" customWidth="true" hidden="false" outlineLevel="0" max="4104" min="4104" style="72" width="5.56"/>
    <col collapsed="false" customWidth="true" hidden="false" outlineLevel="0" max="4105" min="4105" style="72" width="44.56"/>
    <col collapsed="false" customWidth="true" hidden="false" outlineLevel="0" max="4106" min="4106" style="72" width="8.56"/>
    <col collapsed="false" customWidth="true" hidden="false" outlineLevel="0" max="4107" min="4107" style="72" width="7.11"/>
    <col collapsed="false" customWidth="false" hidden="false" outlineLevel="0" max="4352" min="4108" style="72" width="9.11"/>
    <col collapsed="false" customWidth="true" hidden="false" outlineLevel="0" max="4353" min="4353" style="72" width="5.56"/>
    <col collapsed="false" customWidth="true" hidden="false" outlineLevel="0" max="4354" min="4354" style="72" width="8.11"/>
    <col collapsed="false" customWidth="true" hidden="false" outlineLevel="0" max="4356" min="4355" style="72" width="4.56"/>
    <col collapsed="false" customWidth="true" hidden="false" outlineLevel="0" max="4358" min="4357" style="72" width="10.56"/>
    <col collapsed="false" customWidth="true" hidden="false" outlineLevel="0" max="4359" min="4359" style="72" width="6.56"/>
    <col collapsed="false" customWidth="true" hidden="false" outlineLevel="0" max="4360" min="4360" style="72" width="5.56"/>
    <col collapsed="false" customWidth="true" hidden="false" outlineLevel="0" max="4361" min="4361" style="72" width="44.56"/>
    <col collapsed="false" customWidth="true" hidden="false" outlineLevel="0" max="4362" min="4362" style="72" width="8.56"/>
    <col collapsed="false" customWidth="true" hidden="false" outlineLevel="0" max="4363" min="4363" style="72" width="7.11"/>
    <col collapsed="false" customWidth="false" hidden="false" outlineLevel="0" max="4608" min="4364" style="72" width="9.11"/>
    <col collapsed="false" customWidth="true" hidden="false" outlineLevel="0" max="4609" min="4609" style="72" width="5.56"/>
    <col collapsed="false" customWidth="true" hidden="false" outlineLevel="0" max="4610" min="4610" style="72" width="8.11"/>
    <col collapsed="false" customWidth="true" hidden="false" outlineLevel="0" max="4612" min="4611" style="72" width="4.56"/>
    <col collapsed="false" customWidth="true" hidden="false" outlineLevel="0" max="4614" min="4613" style="72" width="10.56"/>
    <col collapsed="false" customWidth="true" hidden="false" outlineLevel="0" max="4615" min="4615" style="72" width="6.56"/>
    <col collapsed="false" customWidth="true" hidden="false" outlineLevel="0" max="4616" min="4616" style="72" width="5.56"/>
    <col collapsed="false" customWidth="true" hidden="false" outlineLevel="0" max="4617" min="4617" style="72" width="44.56"/>
    <col collapsed="false" customWidth="true" hidden="false" outlineLevel="0" max="4618" min="4618" style="72" width="8.56"/>
    <col collapsed="false" customWidth="true" hidden="false" outlineLevel="0" max="4619" min="4619" style="72" width="7.11"/>
    <col collapsed="false" customWidth="false" hidden="false" outlineLevel="0" max="4864" min="4620" style="72" width="9.11"/>
    <col collapsed="false" customWidth="true" hidden="false" outlineLevel="0" max="4865" min="4865" style="72" width="5.56"/>
    <col collapsed="false" customWidth="true" hidden="false" outlineLevel="0" max="4866" min="4866" style="72" width="8.11"/>
    <col collapsed="false" customWidth="true" hidden="false" outlineLevel="0" max="4868" min="4867" style="72" width="4.56"/>
    <col collapsed="false" customWidth="true" hidden="false" outlineLevel="0" max="4870" min="4869" style="72" width="10.56"/>
    <col collapsed="false" customWidth="true" hidden="false" outlineLevel="0" max="4871" min="4871" style="72" width="6.56"/>
    <col collapsed="false" customWidth="true" hidden="false" outlineLevel="0" max="4872" min="4872" style="72" width="5.56"/>
    <col collapsed="false" customWidth="true" hidden="false" outlineLevel="0" max="4873" min="4873" style="72" width="44.56"/>
    <col collapsed="false" customWidth="true" hidden="false" outlineLevel="0" max="4874" min="4874" style="72" width="8.56"/>
    <col collapsed="false" customWidth="true" hidden="false" outlineLevel="0" max="4875" min="4875" style="72" width="7.11"/>
    <col collapsed="false" customWidth="false" hidden="false" outlineLevel="0" max="5120" min="4876" style="72" width="9.11"/>
    <col collapsed="false" customWidth="true" hidden="false" outlineLevel="0" max="5121" min="5121" style="72" width="5.56"/>
    <col collapsed="false" customWidth="true" hidden="false" outlineLevel="0" max="5122" min="5122" style="72" width="8.11"/>
    <col collapsed="false" customWidth="true" hidden="false" outlineLevel="0" max="5124" min="5123" style="72" width="4.56"/>
    <col collapsed="false" customWidth="true" hidden="false" outlineLevel="0" max="5126" min="5125" style="72" width="10.56"/>
    <col collapsed="false" customWidth="true" hidden="false" outlineLevel="0" max="5127" min="5127" style="72" width="6.56"/>
    <col collapsed="false" customWidth="true" hidden="false" outlineLevel="0" max="5128" min="5128" style="72" width="5.56"/>
    <col collapsed="false" customWidth="true" hidden="false" outlineLevel="0" max="5129" min="5129" style="72" width="44.56"/>
    <col collapsed="false" customWidth="true" hidden="false" outlineLevel="0" max="5130" min="5130" style="72" width="8.56"/>
    <col collapsed="false" customWidth="true" hidden="false" outlineLevel="0" max="5131" min="5131" style="72" width="7.11"/>
    <col collapsed="false" customWidth="false" hidden="false" outlineLevel="0" max="5376" min="5132" style="72" width="9.11"/>
    <col collapsed="false" customWidth="true" hidden="false" outlineLevel="0" max="5377" min="5377" style="72" width="5.56"/>
    <col collapsed="false" customWidth="true" hidden="false" outlineLevel="0" max="5378" min="5378" style="72" width="8.11"/>
    <col collapsed="false" customWidth="true" hidden="false" outlineLevel="0" max="5380" min="5379" style="72" width="4.56"/>
    <col collapsed="false" customWidth="true" hidden="false" outlineLevel="0" max="5382" min="5381" style="72" width="10.56"/>
    <col collapsed="false" customWidth="true" hidden="false" outlineLevel="0" max="5383" min="5383" style="72" width="6.56"/>
    <col collapsed="false" customWidth="true" hidden="false" outlineLevel="0" max="5384" min="5384" style="72" width="5.56"/>
    <col collapsed="false" customWidth="true" hidden="false" outlineLevel="0" max="5385" min="5385" style="72" width="44.56"/>
    <col collapsed="false" customWidth="true" hidden="false" outlineLevel="0" max="5386" min="5386" style="72" width="8.56"/>
    <col collapsed="false" customWidth="true" hidden="false" outlineLevel="0" max="5387" min="5387" style="72" width="7.11"/>
    <col collapsed="false" customWidth="false" hidden="false" outlineLevel="0" max="5632" min="5388" style="72" width="9.11"/>
    <col collapsed="false" customWidth="true" hidden="false" outlineLevel="0" max="5633" min="5633" style="72" width="5.56"/>
    <col collapsed="false" customWidth="true" hidden="false" outlineLevel="0" max="5634" min="5634" style="72" width="8.11"/>
    <col collapsed="false" customWidth="true" hidden="false" outlineLevel="0" max="5636" min="5635" style="72" width="4.56"/>
    <col collapsed="false" customWidth="true" hidden="false" outlineLevel="0" max="5638" min="5637" style="72" width="10.56"/>
    <col collapsed="false" customWidth="true" hidden="false" outlineLevel="0" max="5639" min="5639" style="72" width="6.56"/>
    <col collapsed="false" customWidth="true" hidden="false" outlineLevel="0" max="5640" min="5640" style="72" width="5.56"/>
    <col collapsed="false" customWidth="true" hidden="false" outlineLevel="0" max="5641" min="5641" style="72" width="44.56"/>
    <col collapsed="false" customWidth="true" hidden="false" outlineLevel="0" max="5642" min="5642" style="72" width="8.56"/>
    <col collapsed="false" customWidth="true" hidden="false" outlineLevel="0" max="5643" min="5643" style="72" width="7.11"/>
    <col collapsed="false" customWidth="false" hidden="false" outlineLevel="0" max="5888" min="5644" style="72" width="9.11"/>
    <col collapsed="false" customWidth="true" hidden="false" outlineLevel="0" max="5889" min="5889" style="72" width="5.56"/>
    <col collapsed="false" customWidth="true" hidden="false" outlineLevel="0" max="5890" min="5890" style="72" width="8.11"/>
    <col collapsed="false" customWidth="true" hidden="false" outlineLevel="0" max="5892" min="5891" style="72" width="4.56"/>
    <col collapsed="false" customWidth="true" hidden="false" outlineLevel="0" max="5894" min="5893" style="72" width="10.56"/>
    <col collapsed="false" customWidth="true" hidden="false" outlineLevel="0" max="5895" min="5895" style="72" width="6.56"/>
    <col collapsed="false" customWidth="true" hidden="false" outlineLevel="0" max="5896" min="5896" style="72" width="5.56"/>
    <col collapsed="false" customWidth="true" hidden="false" outlineLevel="0" max="5897" min="5897" style="72" width="44.56"/>
    <col collapsed="false" customWidth="true" hidden="false" outlineLevel="0" max="5898" min="5898" style="72" width="8.56"/>
    <col collapsed="false" customWidth="true" hidden="false" outlineLevel="0" max="5899" min="5899" style="72" width="7.11"/>
    <col collapsed="false" customWidth="false" hidden="false" outlineLevel="0" max="6144" min="5900" style="72" width="9.11"/>
    <col collapsed="false" customWidth="true" hidden="false" outlineLevel="0" max="6145" min="6145" style="72" width="5.56"/>
    <col collapsed="false" customWidth="true" hidden="false" outlineLevel="0" max="6146" min="6146" style="72" width="8.11"/>
    <col collapsed="false" customWidth="true" hidden="false" outlineLevel="0" max="6148" min="6147" style="72" width="4.56"/>
    <col collapsed="false" customWidth="true" hidden="false" outlineLevel="0" max="6150" min="6149" style="72" width="10.56"/>
    <col collapsed="false" customWidth="true" hidden="false" outlineLevel="0" max="6151" min="6151" style="72" width="6.56"/>
    <col collapsed="false" customWidth="true" hidden="false" outlineLevel="0" max="6152" min="6152" style="72" width="5.56"/>
    <col collapsed="false" customWidth="true" hidden="false" outlineLevel="0" max="6153" min="6153" style="72" width="44.56"/>
    <col collapsed="false" customWidth="true" hidden="false" outlineLevel="0" max="6154" min="6154" style="72" width="8.56"/>
    <col collapsed="false" customWidth="true" hidden="false" outlineLevel="0" max="6155" min="6155" style="72" width="7.11"/>
    <col collapsed="false" customWidth="false" hidden="false" outlineLevel="0" max="6400" min="6156" style="72" width="9.11"/>
    <col collapsed="false" customWidth="true" hidden="false" outlineLevel="0" max="6401" min="6401" style="72" width="5.56"/>
    <col collapsed="false" customWidth="true" hidden="false" outlineLevel="0" max="6402" min="6402" style="72" width="8.11"/>
    <col collapsed="false" customWidth="true" hidden="false" outlineLevel="0" max="6404" min="6403" style="72" width="4.56"/>
    <col collapsed="false" customWidth="true" hidden="false" outlineLevel="0" max="6406" min="6405" style="72" width="10.56"/>
    <col collapsed="false" customWidth="true" hidden="false" outlineLevel="0" max="6407" min="6407" style="72" width="6.56"/>
    <col collapsed="false" customWidth="true" hidden="false" outlineLevel="0" max="6408" min="6408" style="72" width="5.56"/>
    <col collapsed="false" customWidth="true" hidden="false" outlineLevel="0" max="6409" min="6409" style="72" width="44.56"/>
    <col collapsed="false" customWidth="true" hidden="false" outlineLevel="0" max="6410" min="6410" style="72" width="8.56"/>
    <col collapsed="false" customWidth="true" hidden="false" outlineLevel="0" max="6411" min="6411" style="72" width="7.11"/>
    <col collapsed="false" customWidth="false" hidden="false" outlineLevel="0" max="6656" min="6412" style="72" width="9.11"/>
    <col collapsed="false" customWidth="true" hidden="false" outlineLevel="0" max="6657" min="6657" style="72" width="5.56"/>
    <col collapsed="false" customWidth="true" hidden="false" outlineLevel="0" max="6658" min="6658" style="72" width="8.11"/>
    <col collapsed="false" customWidth="true" hidden="false" outlineLevel="0" max="6660" min="6659" style="72" width="4.56"/>
    <col collapsed="false" customWidth="true" hidden="false" outlineLevel="0" max="6662" min="6661" style="72" width="10.56"/>
    <col collapsed="false" customWidth="true" hidden="false" outlineLevel="0" max="6663" min="6663" style="72" width="6.56"/>
    <col collapsed="false" customWidth="true" hidden="false" outlineLevel="0" max="6664" min="6664" style="72" width="5.56"/>
    <col collapsed="false" customWidth="true" hidden="false" outlineLevel="0" max="6665" min="6665" style="72" width="44.56"/>
    <col collapsed="false" customWidth="true" hidden="false" outlineLevel="0" max="6666" min="6666" style="72" width="8.56"/>
    <col collapsed="false" customWidth="true" hidden="false" outlineLevel="0" max="6667" min="6667" style="72" width="7.11"/>
    <col collapsed="false" customWidth="false" hidden="false" outlineLevel="0" max="6912" min="6668" style="72" width="9.11"/>
    <col collapsed="false" customWidth="true" hidden="false" outlineLevel="0" max="6913" min="6913" style="72" width="5.56"/>
    <col collapsed="false" customWidth="true" hidden="false" outlineLevel="0" max="6914" min="6914" style="72" width="8.11"/>
    <col collapsed="false" customWidth="true" hidden="false" outlineLevel="0" max="6916" min="6915" style="72" width="4.56"/>
    <col collapsed="false" customWidth="true" hidden="false" outlineLevel="0" max="6918" min="6917" style="72" width="10.56"/>
    <col collapsed="false" customWidth="true" hidden="false" outlineLevel="0" max="6919" min="6919" style="72" width="6.56"/>
    <col collapsed="false" customWidth="true" hidden="false" outlineLevel="0" max="6920" min="6920" style="72" width="5.56"/>
    <col collapsed="false" customWidth="true" hidden="false" outlineLevel="0" max="6921" min="6921" style="72" width="44.56"/>
    <col collapsed="false" customWidth="true" hidden="false" outlineLevel="0" max="6922" min="6922" style="72" width="8.56"/>
    <col collapsed="false" customWidth="true" hidden="false" outlineLevel="0" max="6923" min="6923" style="72" width="7.11"/>
    <col collapsed="false" customWidth="false" hidden="false" outlineLevel="0" max="7168" min="6924" style="72" width="9.11"/>
    <col collapsed="false" customWidth="true" hidden="false" outlineLevel="0" max="7169" min="7169" style="72" width="5.56"/>
    <col collapsed="false" customWidth="true" hidden="false" outlineLevel="0" max="7170" min="7170" style="72" width="8.11"/>
    <col collapsed="false" customWidth="true" hidden="false" outlineLevel="0" max="7172" min="7171" style="72" width="4.56"/>
    <col collapsed="false" customWidth="true" hidden="false" outlineLevel="0" max="7174" min="7173" style="72" width="10.56"/>
    <col collapsed="false" customWidth="true" hidden="false" outlineLevel="0" max="7175" min="7175" style="72" width="6.56"/>
    <col collapsed="false" customWidth="true" hidden="false" outlineLevel="0" max="7176" min="7176" style="72" width="5.56"/>
    <col collapsed="false" customWidth="true" hidden="false" outlineLevel="0" max="7177" min="7177" style="72" width="44.56"/>
    <col collapsed="false" customWidth="true" hidden="false" outlineLevel="0" max="7178" min="7178" style="72" width="8.56"/>
    <col collapsed="false" customWidth="true" hidden="false" outlineLevel="0" max="7179" min="7179" style="72" width="7.11"/>
    <col collapsed="false" customWidth="false" hidden="false" outlineLevel="0" max="7424" min="7180" style="72" width="9.11"/>
    <col collapsed="false" customWidth="true" hidden="false" outlineLevel="0" max="7425" min="7425" style="72" width="5.56"/>
    <col collapsed="false" customWidth="true" hidden="false" outlineLevel="0" max="7426" min="7426" style="72" width="8.11"/>
    <col collapsed="false" customWidth="true" hidden="false" outlineLevel="0" max="7428" min="7427" style="72" width="4.56"/>
    <col collapsed="false" customWidth="true" hidden="false" outlineLevel="0" max="7430" min="7429" style="72" width="10.56"/>
    <col collapsed="false" customWidth="true" hidden="false" outlineLevel="0" max="7431" min="7431" style="72" width="6.56"/>
    <col collapsed="false" customWidth="true" hidden="false" outlineLevel="0" max="7432" min="7432" style="72" width="5.56"/>
    <col collapsed="false" customWidth="true" hidden="false" outlineLevel="0" max="7433" min="7433" style="72" width="44.56"/>
    <col collapsed="false" customWidth="true" hidden="false" outlineLevel="0" max="7434" min="7434" style="72" width="8.56"/>
    <col collapsed="false" customWidth="true" hidden="false" outlineLevel="0" max="7435" min="7435" style="72" width="7.11"/>
    <col collapsed="false" customWidth="false" hidden="false" outlineLevel="0" max="7680" min="7436" style="72" width="9.11"/>
    <col collapsed="false" customWidth="true" hidden="false" outlineLevel="0" max="7681" min="7681" style="72" width="5.56"/>
    <col collapsed="false" customWidth="true" hidden="false" outlineLevel="0" max="7682" min="7682" style="72" width="8.11"/>
    <col collapsed="false" customWidth="true" hidden="false" outlineLevel="0" max="7684" min="7683" style="72" width="4.56"/>
    <col collapsed="false" customWidth="true" hidden="false" outlineLevel="0" max="7686" min="7685" style="72" width="10.56"/>
    <col collapsed="false" customWidth="true" hidden="false" outlineLevel="0" max="7687" min="7687" style="72" width="6.56"/>
    <col collapsed="false" customWidth="true" hidden="false" outlineLevel="0" max="7688" min="7688" style="72" width="5.56"/>
    <col collapsed="false" customWidth="true" hidden="false" outlineLevel="0" max="7689" min="7689" style="72" width="44.56"/>
    <col collapsed="false" customWidth="true" hidden="false" outlineLevel="0" max="7690" min="7690" style="72" width="8.56"/>
    <col collapsed="false" customWidth="true" hidden="false" outlineLevel="0" max="7691" min="7691" style="72" width="7.11"/>
    <col collapsed="false" customWidth="false" hidden="false" outlineLevel="0" max="7936" min="7692" style="72" width="9.11"/>
    <col collapsed="false" customWidth="true" hidden="false" outlineLevel="0" max="7937" min="7937" style="72" width="5.56"/>
    <col collapsed="false" customWidth="true" hidden="false" outlineLevel="0" max="7938" min="7938" style="72" width="8.11"/>
    <col collapsed="false" customWidth="true" hidden="false" outlineLevel="0" max="7940" min="7939" style="72" width="4.56"/>
    <col collapsed="false" customWidth="true" hidden="false" outlineLevel="0" max="7942" min="7941" style="72" width="10.56"/>
    <col collapsed="false" customWidth="true" hidden="false" outlineLevel="0" max="7943" min="7943" style="72" width="6.56"/>
    <col collapsed="false" customWidth="true" hidden="false" outlineLevel="0" max="7944" min="7944" style="72" width="5.56"/>
    <col collapsed="false" customWidth="true" hidden="false" outlineLevel="0" max="7945" min="7945" style="72" width="44.56"/>
    <col collapsed="false" customWidth="true" hidden="false" outlineLevel="0" max="7946" min="7946" style="72" width="8.56"/>
    <col collapsed="false" customWidth="true" hidden="false" outlineLevel="0" max="7947" min="7947" style="72" width="7.11"/>
    <col collapsed="false" customWidth="false" hidden="false" outlineLevel="0" max="8192" min="7948" style="72" width="9.11"/>
    <col collapsed="false" customWidth="true" hidden="false" outlineLevel="0" max="8193" min="8193" style="72" width="5.56"/>
    <col collapsed="false" customWidth="true" hidden="false" outlineLevel="0" max="8194" min="8194" style="72" width="8.11"/>
    <col collapsed="false" customWidth="true" hidden="false" outlineLevel="0" max="8196" min="8195" style="72" width="4.56"/>
    <col collapsed="false" customWidth="true" hidden="false" outlineLevel="0" max="8198" min="8197" style="72" width="10.56"/>
    <col collapsed="false" customWidth="true" hidden="false" outlineLevel="0" max="8199" min="8199" style="72" width="6.56"/>
    <col collapsed="false" customWidth="true" hidden="false" outlineLevel="0" max="8200" min="8200" style="72" width="5.56"/>
    <col collapsed="false" customWidth="true" hidden="false" outlineLevel="0" max="8201" min="8201" style="72" width="44.56"/>
    <col collapsed="false" customWidth="true" hidden="false" outlineLevel="0" max="8202" min="8202" style="72" width="8.56"/>
    <col collapsed="false" customWidth="true" hidden="false" outlineLevel="0" max="8203" min="8203" style="72" width="7.11"/>
    <col collapsed="false" customWidth="false" hidden="false" outlineLevel="0" max="8448" min="8204" style="72" width="9.11"/>
    <col collapsed="false" customWidth="true" hidden="false" outlineLevel="0" max="8449" min="8449" style="72" width="5.56"/>
    <col collapsed="false" customWidth="true" hidden="false" outlineLevel="0" max="8450" min="8450" style="72" width="8.11"/>
    <col collapsed="false" customWidth="true" hidden="false" outlineLevel="0" max="8452" min="8451" style="72" width="4.56"/>
    <col collapsed="false" customWidth="true" hidden="false" outlineLevel="0" max="8454" min="8453" style="72" width="10.56"/>
    <col collapsed="false" customWidth="true" hidden="false" outlineLevel="0" max="8455" min="8455" style="72" width="6.56"/>
    <col collapsed="false" customWidth="true" hidden="false" outlineLevel="0" max="8456" min="8456" style="72" width="5.56"/>
    <col collapsed="false" customWidth="true" hidden="false" outlineLevel="0" max="8457" min="8457" style="72" width="44.56"/>
    <col collapsed="false" customWidth="true" hidden="false" outlineLevel="0" max="8458" min="8458" style="72" width="8.56"/>
    <col collapsed="false" customWidth="true" hidden="false" outlineLevel="0" max="8459" min="8459" style="72" width="7.11"/>
    <col collapsed="false" customWidth="false" hidden="false" outlineLevel="0" max="8704" min="8460" style="72" width="9.11"/>
    <col collapsed="false" customWidth="true" hidden="false" outlineLevel="0" max="8705" min="8705" style="72" width="5.56"/>
    <col collapsed="false" customWidth="true" hidden="false" outlineLevel="0" max="8706" min="8706" style="72" width="8.11"/>
    <col collapsed="false" customWidth="true" hidden="false" outlineLevel="0" max="8708" min="8707" style="72" width="4.56"/>
    <col collapsed="false" customWidth="true" hidden="false" outlineLevel="0" max="8710" min="8709" style="72" width="10.56"/>
    <col collapsed="false" customWidth="true" hidden="false" outlineLevel="0" max="8711" min="8711" style="72" width="6.56"/>
    <col collapsed="false" customWidth="true" hidden="false" outlineLevel="0" max="8712" min="8712" style="72" width="5.56"/>
    <col collapsed="false" customWidth="true" hidden="false" outlineLevel="0" max="8713" min="8713" style="72" width="44.56"/>
    <col collapsed="false" customWidth="true" hidden="false" outlineLevel="0" max="8714" min="8714" style="72" width="8.56"/>
    <col collapsed="false" customWidth="true" hidden="false" outlineLevel="0" max="8715" min="8715" style="72" width="7.11"/>
    <col collapsed="false" customWidth="false" hidden="false" outlineLevel="0" max="8960" min="8716" style="72" width="9.11"/>
    <col collapsed="false" customWidth="true" hidden="false" outlineLevel="0" max="8961" min="8961" style="72" width="5.56"/>
    <col collapsed="false" customWidth="true" hidden="false" outlineLevel="0" max="8962" min="8962" style="72" width="8.11"/>
    <col collapsed="false" customWidth="true" hidden="false" outlineLevel="0" max="8964" min="8963" style="72" width="4.56"/>
    <col collapsed="false" customWidth="true" hidden="false" outlineLevel="0" max="8966" min="8965" style="72" width="10.56"/>
    <col collapsed="false" customWidth="true" hidden="false" outlineLevel="0" max="8967" min="8967" style="72" width="6.56"/>
    <col collapsed="false" customWidth="true" hidden="false" outlineLevel="0" max="8968" min="8968" style="72" width="5.56"/>
    <col collapsed="false" customWidth="true" hidden="false" outlineLevel="0" max="8969" min="8969" style="72" width="44.56"/>
    <col collapsed="false" customWidth="true" hidden="false" outlineLevel="0" max="8970" min="8970" style="72" width="8.56"/>
    <col collapsed="false" customWidth="true" hidden="false" outlineLevel="0" max="8971" min="8971" style="72" width="7.11"/>
    <col collapsed="false" customWidth="false" hidden="false" outlineLevel="0" max="9216" min="8972" style="72" width="9.11"/>
    <col collapsed="false" customWidth="true" hidden="false" outlineLevel="0" max="9217" min="9217" style="72" width="5.56"/>
    <col collapsed="false" customWidth="true" hidden="false" outlineLevel="0" max="9218" min="9218" style="72" width="8.11"/>
    <col collapsed="false" customWidth="true" hidden="false" outlineLevel="0" max="9220" min="9219" style="72" width="4.56"/>
    <col collapsed="false" customWidth="true" hidden="false" outlineLevel="0" max="9222" min="9221" style="72" width="10.56"/>
    <col collapsed="false" customWidth="true" hidden="false" outlineLevel="0" max="9223" min="9223" style="72" width="6.56"/>
    <col collapsed="false" customWidth="true" hidden="false" outlineLevel="0" max="9224" min="9224" style="72" width="5.56"/>
    <col collapsed="false" customWidth="true" hidden="false" outlineLevel="0" max="9225" min="9225" style="72" width="44.56"/>
    <col collapsed="false" customWidth="true" hidden="false" outlineLevel="0" max="9226" min="9226" style="72" width="8.56"/>
    <col collapsed="false" customWidth="true" hidden="false" outlineLevel="0" max="9227" min="9227" style="72" width="7.11"/>
    <col collapsed="false" customWidth="false" hidden="false" outlineLevel="0" max="9472" min="9228" style="72" width="9.11"/>
    <col collapsed="false" customWidth="true" hidden="false" outlineLevel="0" max="9473" min="9473" style="72" width="5.56"/>
    <col collapsed="false" customWidth="true" hidden="false" outlineLevel="0" max="9474" min="9474" style="72" width="8.11"/>
    <col collapsed="false" customWidth="true" hidden="false" outlineLevel="0" max="9476" min="9475" style="72" width="4.56"/>
    <col collapsed="false" customWidth="true" hidden="false" outlineLevel="0" max="9478" min="9477" style="72" width="10.56"/>
    <col collapsed="false" customWidth="true" hidden="false" outlineLevel="0" max="9479" min="9479" style="72" width="6.56"/>
    <col collapsed="false" customWidth="true" hidden="false" outlineLevel="0" max="9480" min="9480" style="72" width="5.56"/>
    <col collapsed="false" customWidth="true" hidden="false" outlineLevel="0" max="9481" min="9481" style="72" width="44.56"/>
    <col collapsed="false" customWidth="true" hidden="false" outlineLevel="0" max="9482" min="9482" style="72" width="8.56"/>
    <col collapsed="false" customWidth="true" hidden="false" outlineLevel="0" max="9483" min="9483" style="72" width="7.11"/>
    <col collapsed="false" customWidth="false" hidden="false" outlineLevel="0" max="9728" min="9484" style="72" width="9.11"/>
    <col collapsed="false" customWidth="true" hidden="false" outlineLevel="0" max="9729" min="9729" style="72" width="5.56"/>
    <col collapsed="false" customWidth="true" hidden="false" outlineLevel="0" max="9730" min="9730" style="72" width="8.11"/>
    <col collapsed="false" customWidth="true" hidden="false" outlineLevel="0" max="9732" min="9731" style="72" width="4.56"/>
    <col collapsed="false" customWidth="true" hidden="false" outlineLevel="0" max="9734" min="9733" style="72" width="10.56"/>
    <col collapsed="false" customWidth="true" hidden="false" outlineLevel="0" max="9735" min="9735" style="72" width="6.56"/>
    <col collapsed="false" customWidth="true" hidden="false" outlineLevel="0" max="9736" min="9736" style="72" width="5.56"/>
    <col collapsed="false" customWidth="true" hidden="false" outlineLevel="0" max="9737" min="9737" style="72" width="44.56"/>
    <col collapsed="false" customWidth="true" hidden="false" outlineLevel="0" max="9738" min="9738" style="72" width="8.56"/>
    <col collapsed="false" customWidth="true" hidden="false" outlineLevel="0" max="9739" min="9739" style="72" width="7.11"/>
    <col collapsed="false" customWidth="false" hidden="false" outlineLevel="0" max="9984" min="9740" style="72" width="9.11"/>
    <col collapsed="false" customWidth="true" hidden="false" outlineLevel="0" max="9985" min="9985" style="72" width="5.56"/>
    <col collapsed="false" customWidth="true" hidden="false" outlineLevel="0" max="9986" min="9986" style="72" width="8.11"/>
    <col collapsed="false" customWidth="true" hidden="false" outlineLevel="0" max="9988" min="9987" style="72" width="4.56"/>
    <col collapsed="false" customWidth="true" hidden="false" outlineLevel="0" max="9990" min="9989" style="72" width="10.56"/>
    <col collapsed="false" customWidth="true" hidden="false" outlineLevel="0" max="9991" min="9991" style="72" width="6.56"/>
    <col collapsed="false" customWidth="true" hidden="false" outlineLevel="0" max="9992" min="9992" style="72" width="5.56"/>
    <col collapsed="false" customWidth="true" hidden="false" outlineLevel="0" max="9993" min="9993" style="72" width="44.56"/>
    <col collapsed="false" customWidth="true" hidden="false" outlineLevel="0" max="9994" min="9994" style="72" width="8.56"/>
    <col collapsed="false" customWidth="true" hidden="false" outlineLevel="0" max="9995" min="9995" style="72" width="7.11"/>
    <col collapsed="false" customWidth="false" hidden="false" outlineLevel="0" max="10240" min="9996" style="72" width="9.11"/>
    <col collapsed="false" customWidth="true" hidden="false" outlineLevel="0" max="10241" min="10241" style="72" width="5.56"/>
    <col collapsed="false" customWidth="true" hidden="false" outlineLevel="0" max="10242" min="10242" style="72" width="8.11"/>
    <col collapsed="false" customWidth="true" hidden="false" outlineLevel="0" max="10244" min="10243" style="72" width="4.56"/>
    <col collapsed="false" customWidth="true" hidden="false" outlineLevel="0" max="10246" min="10245" style="72" width="10.56"/>
    <col collapsed="false" customWidth="true" hidden="false" outlineLevel="0" max="10247" min="10247" style="72" width="6.56"/>
    <col collapsed="false" customWidth="true" hidden="false" outlineLevel="0" max="10248" min="10248" style="72" width="5.56"/>
    <col collapsed="false" customWidth="true" hidden="false" outlineLevel="0" max="10249" min="10249" style="72" width="44.56"/>
    <col collapsed="false" customWidth="true" hidden="false" outlineLevel="0" max="10250" min="10250" style="72" width="8.56"/>
    <col collapsed="false" customWidth="true" hidden="false" outlineLevel="0" max="10251" min="10251" style="72" width="7.11"/>
    <col collapsed="false" customWidth="false" hidden="false" outlineLevel="0" max="10496" min="10252" style="72" width="9.11"/>
    <col collapsed="false" customWidth="true" hidden="false" outlineLevel="0" max="10497" min="10497" style="72" width="5.56"/>
    <col collapsed="false" customWidth="true" hidden="false" outlineLevel="0" max="10498" min="10498" style="72" width="8.11"/>
    <col collapsed="false" customWidth="true" hidden="false" outlineLevel="0" max="10500" min="10499" style="72" width="4.56"/>
    <col collapsed="false" customWidth="true" hidden="false" outlineLevel="0" max="10502" min="10501" style="72" width="10.56"/>
    <col collapsed="false" customWidth="true" hidden="false" outlineLevel="0" max="10503" min="10503" style="72" width="6.56"/>
    <col collapsed="false" customWidth="true" hidden="false" outlineLevel="0" max="10504" min="10504" style="72" width="5.56"/>
    <col collapsed="false" customWidth="true" hidden="false" outlineLevel="0" max="10505" min="10505" style="72" width="44.56"/>
    <col collapsed="false" customWidth="true" hidden="false" outlineLevel="0" max="10506" min="10506" style="72" width="8.56"/>
    <col collapsed="false" customWidth="true" hidden="false" outlineLevel="0" max="10507" min="10507" style="72" width="7.11"/>
    <col collapsed="false" customWidth="false" hidden="false" outlineLevel="0" max="10752" min="10508" style="72" width="9.11"/>
    <col collapsed="false" customWidth="true" hidden="false" outlineLevel="0" max="10753" min="10753" style="72" width="5.56"/>
    <col collapsed="false" customWidth="true" hidden="false" outlineLevel="0" max="10754" min="10754" style="72" width="8.11"/>
    <col collapsed="false" customWidth="true" hidden="false" outlineLevel="0" max="10756" min="10755" style="72" width="4.56"/>
    <col collapsed="false" customWidth="true" hidden="false" outlineLevel="0" max="10758" min="10757" style="72" width="10.56"/>
    <col collapsed="false" customWidth="true" hidden="false" outlineLevel="0" max="10759" min="10759" style="72" width="6.56"/>
    <col collapsed="false" customWidth="true" hidden="false" outlineLevel="0" max="10760" min="10760" style="72" width="5.56"/>
    <col collapsed="false" customWidth="true" hidden="false" outlineLevel="0" max="10761" min="10761" style="72" width="44.56"/>
    <col collapsed="false" customWidth="true" hidden="false" outlineLevel="0" max="10762" min="10762" style="72" width="8.56"/>
    <col collapsed="false" customWidth="true" hidden="false" outlineLevel="0" max="10763" min="10763" style="72" width="7.11"/>
    <col collapsed="false" customWidth="false" hidden="false" outlineLevel="0" max="11008" min="10764" style="72" width="9.11"/>
    <col collapsed="false" customWidth="true" hidden="false" outlineLevel="0" max="11009" min="11009" style="72" width="5.56"/>
    <col collapsed="false" customWidth="true" hidden="false" outlineLevel="0" max="11010" min="11010" style="72" width="8.11"/>
    <col collapsed="false" customWidth="true" hidden="false" outlineLevel="0" max="11012" min="11011" style="72" width="4.56"/>
    <col collapsed="false" customWidth="true" hidden="false" outlineLevel="0" max="11014" min="11013" style="72" width="10.56"/>
    <col collapsed="false" customWidth="true" hidden="false" outlineLevel="0" max="11015" min="11015" style="72" width="6.56"/>
    <col collapsed="false" customWidth="true" hidden="false" outlineLevel="0" max="11016" min="11016" style="72" width="5.56"/>
    <col collapsed="false" customWidth="true" hidden="false" outlineLevel="0" max="11017" min="11017" style="72" width="44.56"/>
    <col collapsed="false" customWidth="true" hidden="false" outlineLevel="0" max="11018" min="11018" style="72" width="8.56"/>
    <col collapsed="false" customWidth="true" hidden="false" outlineLevel="0" max="11019" min="11019" style="72" width="7.11"/>
    <col collapsed="false" customWidth="false" hidden="false" outlineLevel="0" max="11264" min="11020" style="72" width="9.11"/>
    <col collapsed="false" customWidth="true" hidden="false" outlineLevel="0" max="11265" min="11265" style="72" width="5.56"/>
    <col collapsed="false" customWidth="true" hidden="false" outlineLevel="0" max="11266" min="11266" style="72" width="8.11"/>
    <col collapsed="false" customWidth="true" hidden="false" outlineLevel="0" max="11268" min="11267" style="72" width="4.56"/>
    <col collapsed="false" customWidth="true" hidden="false" outlineLevel="0" max="11270" min="11269" style="72" width="10.56"/>
    <col collapsed="false" customWidth="true" hidden="false" outlineLevel="0" max="11271" min="11271" style="72" width="6.56"/>
    <col collapsed="false" customWidth="true" hidden="false" outlineLevel="0" max="11272" min="11272" style="72" width="5.56"/>
    <col collapsed="false" customWidth="true" hidden="false" outlineLevel="0" max="11273" min="11273" style="72" width="44.56"/>
    <col collapsed="false" customWidth="true" hidden="false" outlineLevel="0" max="11274" min="11274" style="72" width="8.56"/>
    <col collapsed="false" customWidth="true" hidden="false" outlineLevel="0" max="11275" min="11275" style="72" width="7.11"/>
    <col collapsed="false" customWidth="false" hidden="false" outlineLevel="0" max="11520" min="11276" style="72" width="9.11"/>
    <col collapsed="false" customWidth="true" hidden="false" outlineLevel="0" max="11521" min="11521" style="72" width="5.56"/>
    <col collapsed="false" customWidth="true" hidden="false" outlineLevel="0" max="11522" min="11522" style="72" width="8.11"/>
    <col collapsed="false" customWidth="true" hidden="false" outlineLevel="0" max="11524" min="11523" style="72" width="4.56"/>
    <col collapsed="false" customWidth="true" hidden="false" outlineLevel="0" max="11526" min="11525" style="72" width="10.56"/>
    <col collapsed="false" customWidth="true" hidden="false" outlineLevel="0" max="11527" min="11527" style="72" width="6.56"/>
    <col collapsed="false" customWidth="true" hidden="false" outlineLevel="0" max="11528" min="11528" style="72" width="5.56"/>
    <col collapsed="false" customWidth="true" hidden="false" outlineLevel="0" max="11529" min="11529" style="72" width="44.56"/>
    <col collapsed="false" customWidth="true" hidden="false" outlineLevel="0" max="11530" min="11530" style="72" width="8.56"/>
    <col collapsed="false" customWidth="true" hidden="false" outlineLevel="0" max="11531" min="11531" style="72" width="7.11"/>
    <col collapsed="false" customWidth="false" hidden="false" outlineLevel="0" max="11776" min="11532" style="72" width="9.11"/>
    <col collapsed="false" customWidth="true" hidden="false" outlineLevel="0" max="11777" min="11777" style="72" width="5.56"/>
    <col collapsed="false" customWidth="true" hidden="false" outlineLevel="0" max="11778" min="11778" style="72" width="8.11"/>
    <col collapsed="false" customWidth="true" hidden="false" outlineLevel="0" max="11780" min="11779" style="72" width="4.56"/>
    <col collapsed="false" customWidth="true" hidden="false" outlineLevel="0" max="11782" min="11781" style="72" width="10.56"/>
    <col collapsed="false" customWidth="true" hidden="false" outlineLevel="0" max="11783" min="11783" style="72" width="6.56"/>
    <col collapsed="false" customWidth="true" hidden="false" outlineLevel="0" max="11784" min="11784" style="72" width="5.56"/>
    <col collapsed="false" customWidth="true" hidden="false" outlineLevel="0" max="11785" min="11785" style="72" width="44.56"/>
    <col collapsed="false" customWidth="true" hidden="false" outlineLevel="0" max="11786" min="11786" style="72" width="8.56"/>
    <col collapsed="false" customWidth="true" hidden="false" outlineLevel="0" max="11787" min="11787" style="72" width="7.11"/>
    <col collapsed="false" customWidth="false" hidden="false" outlineLevel="0" max="12032" min="11788" style="72" width="9.11"/>
    <col collapsed="false" customWidth="true" hidden="false" outlineLevel="0" max="12033" min="12033" style="72" width="5.56"/>
    <col collapsed="false" customWidth="true" hidden="false" outlineLevel="0" max="12034" min="12034" style="72" width="8.11"/>
    <col collapsed="false" customWidth="true" hidden="false" outlineLevel="0" max="12036" min="12035" style="72" width="4.56"/>
    <col collapsed="false" customWidth="true" hidden="false" outlineLevel="0" max="12038" min="12037" style="72" width="10.56"/>
    <col collapsed="false" customWidth="true" hidden="false" outlineLevel="0" max="12039" min="12039" style="72" width="6.56"/>
    <col collapsed="false" customWidth="true" hidden="false" outlineLevel="0" max="12040" min="12040" style="72" width="5.56"/>
    <col collapsed="false" customWidth="true" hidden="false" outlineLevel="0" max="12041" min="12041" style="72" width="44.56"/>
    <col collapsed="false" customWidth="true" hidden="false" outlineLevel="0" max="12042" min="12042" style="72" width="8.56"/>
    <col collapsed="false" customWidth="true" hidden="false" outlineLevel="0" max="12043" min="12043" style="72" width="7.11"/>
    <col collapsed="false" customWidth="false" hidden="false" outlineLevel="0" max="12288" min="12044" style="72" width="9.11"/>
    <col collapsed="false" customWidth="true" hidden="false" outlineLevel="0" max="12289" min="12289" style="72" width="5.56"/>
    <col collapsed="false" customWidth="true" hidden="false" outlineLevel="0" max="12290" min="12290" style="72" width="8.11"/>
    <col collapsed="false" customWidth="true" hidden="false" outlineLevel="0" max="12292" min="12291" style="72" width="4.56"/>
    <col collapsed="false" customWidth="true" hidden="false" outlineLevel="0" max="12294" min="12293" style="72" width="10.56"/>
    <col collapsed="false" customWidth="true" hidden="false" outlineLevel="0" max="12295" min="12295" style="72" width="6.56"/>
    <col collapsed="false" customWidth="true" hidden="false" outlineLevel="0" max="12296" min="12296" style="72" width="5.56"/>
    <col collapsed="false" customWidth="true" hidden="false" outlineLevel="0" max="12297" min="12297" style="72" width="44.56"/>
    <col collapsed="false" customWidth="true" hidden="false" outlineLevel="0" max="12298" min="12298" style="72" width="8.56"/>
    <col collapsed="false" customWidth="true" hidden="false" outlineLevel="0" max="12299" min="12299" style="72" width="7.11"/>
    <col collapsed="false" customWidth="false" hidden="false" outlineLevel="0" max="12544" min="12300" style="72" width="9.11"/>
    <col collapsed="false" customWidth="true" hidden="false" outlineLevel="0" max="12545" min="12545" style="72" width="5.56"/>
    <col collapsed="false" customWidth="true" hidden="false" outlineLevel="0" max="12546" min="12546" style="72" width="8.11"/>
    <col collapsed="false" customWidth="true" hidden="false" outlineLevel="0" max="12548" min="12547" style="72" width="4.56"/>
    <col collapsed="false" customWidth="true" hidden="false" outlineLevel="0" max="12550" min="12549" style="72" width="10.56"/>
    <col collapsed="false" customWidth="true" hidden="false" outlineLevel="0" max="12551" min="12551" style="72" width="6.56"/>
    <col collapsed="false" customWidth="true" hidden="false" outlineLevel="0" max="12552" min="12552" style="72" width="5.56"/>
    <col collapsed="false" customWidth="true" hidden="false" outlineLevel="0" max="12553" min="12553" style="72" width="44.56"/>
    <col collapsed="false" customWidth="true" hidden="false" outlineLevel="0" max="12554" min="12554" style="72" width="8.56"/>
    <col collapsed="false" customWidth="true" hidden="false" outlineLevel="0" max="12555" min="12555" style="72" width="7.11"/>
    <col collapsed="false" customWidth="false" hidden="false" outlineLevel="0" max="12800" min="12556" style="72" width="9.11"/>
    <col collapsed="false" customWidth="true" hidden="false" outlineLevel="0" max="12801" min="12801" style="72" width="5.56"/>
    <col collapsed="false" customWidth="true" hidden="false" outlineLevel="0" max="12802" min="12802" style="72" width="8.11"/>
    <col collapsed="false" customWidth="true" hidden="false" outlineLevel="0" max="12804" min="12803" style="72" width="4.56"/>
    <col collapsed="false" customWidth="true" hidden="false" outlineLevel="0" max="12806" min="12805" style="72" width="10.56"/>
    <col collapsed="false" customWidth="true" hidden="false" outlineLevel="0" max="12807" min="12807" style="72" width="6.56"/>
    <col collapsed="false" customWidth="true" hidden="false" outlineLevel="0" max="12808" min="12808" style="72" width="5.56"/>
    <col collapsed="false" customWidth="true" hidden="false" outlineLevel="0" max="12809" min="12809" style="72" width="44.56"/>
    <col collapsed="false" customWidth="true" hidden="false" outlineLevel="0" max="12810" min="12810" style="72" width="8.56"/>
    <col collapsed="false" customWidth="true" hidden="false" outlineLevel="0" max="12811" min="12811" style="72" width="7.11"/>
    <col collapsed="false" customWidth="false" hidden="false" outlineLevel="0" max="13056" min="12812" style="72" width="9.11"/>
    <col collapsed="false" customWidth="true" hidden="false" outlineLevel="0" max="13057" min="13057" style="72" width="5.56"/>
    <col collapsed="false" customWidth="true" hidden="false" outlineLevel="0" max="13058" min="13058" style="72" width="8.11"/>
    <col collapsed="false" customWidth="true" hidden="false" outlineLevel="0" max="13060" min="13059" style="72" width="4.56"/>
    <col collapsed="false" customWidth="true" hidden="false" outlineLevel="0" max="13062" min="13061" style="72" width="10.56"/>
    <col collapsed="false" customWidth="true" hidden="false" outlineLevel="0" max="13063" min="13063" style="72" width="6.56"/>
    <col collapsed="false" customWidth="true" hidden="false" outlineLevel="0" max="13064" min="13064" style="72" width="5.56"/>
    <col collapsed="false" customWidth="true" hidden="false" outlineLevel="0" max="13065" min="13065" style="72" width="44.56"/>
    <col collapsed="false" customWidth="true" hidden="false" outlineLevel="0" max="13066" min="13066" style="72" width="8.56"/>
    <col collapsed="false" customWidth="true" hidden="false" outlineLevel="0" max="13067" min="13067" style="72" width="7.11"/>
    <col collapsed="false" customWidth="false" hidden="false" outlineLevel="0" max="13312" min="13068" style="72" width="9.11"/>
    <col collapsed="false" customWidth="true" hidden="false" outlineLevel="0" max="13313" min="13313" style="72" width="5.56"/>
    <col collapsed="false" customWidth="true" hidden="false" outlineLevel="0" max="13314" min="13314" style="72" width="8.11"/>
    <col collapsed="false" customWidth="true" hidden="false" outlineLevel="0" max="13316" min="13315" style="72" width="4.56"/>
    <col collapsed="false" customWidth="true" hidden="false" outlineLevel="0" max="13318" min="13317" style="72" width="10.56"/>
    <col collapsed="false" customWidth="true" hidden="false" outlineLevel="0" max="13319" min="13319" style="72" width="6.56"/>
    <col collapsed="false" customWidth="true" hidden="false" outlineLevel="0" max="13320" min="13320" style="72" width="5.56"/>
    <col collapsed="false" customWidth="true" hidden="false" outlineLevel="0" max="13321" min="13321" style="72" width="44.56"/>
    <col collapsed="false" customWidth="true" hidden="false" outlineLevel="0" max="13322" min="13322" style="72" width="8.56"/>
    <col collapsed="false" customWidth="true" hidden="false" outlineLevel="0" max="13323" min="13323" style="72" width="7.11"/>
    <col collapsed="false" customWidth="false" hidden="false" outlineLevel="0" max="13568" min="13324" style="72" width="9.11"/>
    <col collapsed="false" customWidth="true" hidden="false" outlineLevel="0" max="13569" min="13569" style="72" width="5.56"/>
    <col collapsed="false" customWidth="true" hidden="false" outlineLevel="0" max="13570" min="13570" style="72" width="8.11"/>
    <col collapsed="false" customWidth="true" hidden="false" outlineLevel="0" max="13572" min="13571" style="72" width="4.56"/>
    <col collapsed="false" customWidth="true" hidden="false" outlineLevel="0" max="13574" min="13573" style="72" width="10.56"/>
    <col collapsed="false" customWidth="true" hidden="false" outlineLevel="0" max="13575" min="13575" style="72" width="6.56"/>
    <col collapsed="false" customWidth="true" hidden="false" outlineLevel="0" max="13576" min="13576" style="72" width="5.56"/>
    <col collapsed="false" customWidth="true" hidden="false" outlineLevel="0" max="13577" min="13577" style="72" width="44.56"/>
    <col collapsed="false" customWidth="true" hidden="false" outlineLevel="0" max="13578" min="13578" style="72" width="8.56"/>
    <col collapsed="false" customWidth="true" hidden="false" outlineLevel="0" max="13579" min="13579" style="72" width="7.11"/>
    <col collapsed="false" customWidth="false" hidden="false" outlineLevel="0" max="13824" min="13580" style="72" width="9.11"/>
    <col collapsed="false" customWidth="true" hidden="false" outlineLevel="0" max="13825" min="13825" style="72" width="5.56"/>
    <col collapsed="false" customWidth="true" hidden="false" outlineLevel="0" max="13826" min="13826" style="72" width="8.11"/>
    <col collapsed="false" customWidth="true" hidden="false" outlineLevel="0" max="13828" min="13827" style="72" width="4.56"/>
    <col collapsed="false" customWidth="true" hidden="false" outlineLevel="0" max="13830" min="13829" style="72" width="10.56"/>
    <col collapsed="false" customWidth="true" hidden="false" outlineLevel="0" max="13831" min="13831" style="72" width="6.56"/>
    <col collapsed="false" customWidth="true" hidden="false" outlineLevel="0" max="13832" min="13832" style="72" width="5.56"/>
    <col collapsed="false" customWidth="true" hidden="false" outlineLevel="0" max="13833" min="13833" style="72" width="44.56"/>
    <col collapsed="false" customWidth="true" hidden="false" outlineLevel="0" max="13834" min="13834" style="72" width="8.56"/>
    <col collapsed="false" customWidth="true" hidden="false" outlineLevel="0" max="13835" min="13835" style="72" width="7.11"/>
    <col collapsed="false" customWidth="false" hidden="false" outlineLevel="0" max="14080" min="13836" style="72" width="9.11"/>
    <col collapsed="false" customWidth="true" hidden="false" outlineLevel="0" max="14081" min="14081" style="72" width="5.56"/>
    <col collapsed="false" customWidth="true" hidden="false" outlineLevel="0" max="14082" min="14082" style="72" width="8.11"/>
    <col collapsed="false" customWidth="true" hidden="false" outlineLevel="0" max="14084" min="14083" style="72" width="4.56"/>
    <col collapsed="false" customWidth="true" hidden="false" outlineLevel="0" max="14086" min="14085" style="72" width="10.56"/>
    <col collapsed="false" customWidth="true" hidden="false" outlineLevel="0" max="14087" min="14087" style="72" width="6.56"/>
    <col collapsed="false" customWidth="true" hidden="false" outlineLevel="0" max="14088" min="14088" style="72" width="5.56"/>
    <col collapsed="false" customWidth="true" hidden="false" outlineLevel="0" max="14089" min="14089" style="72" width="44.56"/>
    <col collapsed="false" customWidth="true" hidden="false" outlineLevel="0" max="14090" min="14090" style="72" width="8.56"/>
    <col collapsed="false" customWidth="true" hidden="false" outlineLevel="0" max="14091" min="14091" style="72" width="7.11"/>
    <col collapsed="false" customWidth="false" hidden="false" outlineLevel="0" max="14336" min="14092" style="72" width="9.11"/>
    <col collapsed="false" customWidth="true" hidden="false" outlineLevel="0" max="14337" min="14337" style="72" width="5.56"/>
    <col collapsed="false" customWidth="true" hidden="false" outlineLevel="0" max="14338" min="14338" style="72" width="8.11"/>
    <col collapsed="false" customWidth="true" hidden="false" outlineLevel="0" max="14340" min="14339" style="72" width="4.56"/>
    <col collapsed="false" customWidth="true" hidden="false" outlineLevel="0" max="14342" min="14341" style="72" width="10.56"/>
    <col collapsed="false" customWidth="true" hidden="false" outlineLevel="0" max="14343" min="14343" style="72" width="6.56"/>
    <col collapsed="false" customWidth="true" hidden="false" outlineLevel="0" max="14344" min="14344" style="72" width="5.56"/>
    <col collapsed="false" customWidth="true" hidden="false" outlineLevel="0" max="14345" min="14345" style="72" width="44.56"/>
    <col collapsed="false" customWidth="true" hidden="false" outlineLevel="0" max="14346" min="14346" style="72" width="8.56"/>
    <col collapsed="false" customWidth="true" hidden="false" outlineLevel="0" max="14347" min="14347" style="72" width="7.11"/>
    <col collapsed="false" customWidth="false" hidden="false" outlineLevel="0" max="14592" min="14348" style="72" width="9.11"/>
    <col collapsed="false" customWidth="true" hidden="false" outlineLevel="0" max="14593" min="14593" style="72" width="5.56"/>
    <col collapsed="false" customWidth="true" hidden="false" outlineLevel="0" max="14594" min="14594" style="72" width="8.11"/>
    <col collapsed="false" customWidth="true" hidden="false" outlineLevel="0" max="14596" min="14595" style="72" width="4.56"/>
    <col collapsed="false" customWidth="true" hidden="false" outlineLevel="0" max="14598" min="14597" style="72" width="10.56"/>
    <col collapsed="false" customWidth="true" hidden="false" outlineLevel="0" max="14599" min="14599" style="72" width="6.56"/>
    <col collapsed="false" customWidth="true" hidden="false" outlineLevel="0" max="14600" min="14600" style="72" width="5.56"/>
    <col collapsed="false" customWidth="true" hidden="false" outlineLevel="0" max="14601" min="14601" style="72" width="44.56"/>
    <col collapsed="false" customWidth="true" hidden="false" outlineLevel="0" max="14602" min="14602" style="72" width="8.56"/>
    <col collapsed="false" customWidth="true" hidden="false" outlineLevel="0" max="14603" min="14603" style="72" width="7.11"/>
    <col collapsed="false" customWidth="false" hidden="false" outlineLevel="0" max="14848" min="14604" style="72" width="9.11"/>
    <col collapsed="false" customWidth="true" hidden="false" outlineLevel="0" max="14849" min="14849" style="72" width="5.56"/>
    <col collapsed="false" customWidth="true" hidden="false" outlineLevel="0" max="14850" min="14850" style="72" width="8.11"/>
    <col collapsed="false" customWidth="true" hidden="false" outlineLevel="0" max="14852" min="14851" style="72" width="4.56"/>
    <col collapsed="false" customWidth="true" hidden="false" outlineLevel="0" max="14854" min="14853" style="72" width="10.56"/>
    <col collapsed="false" customWidth="true" hidden="false" outlineLevel="0" max="14855" min="14855" style="72" width="6.56"/>
    <col collapsed="false" customWidth="true" hidden="false" outlineLevel="0" max="14856" min="14856" style="72" width="5.56"/>
    <col collapsed="false" customWidth="true" hidden="false" outlineLevel="0" max="14857" min="14857" style="72" width="44.56"/>
    <col collapsed="false" customWidth="true" hidden="false" outlineLevel="0" max="14858" min="14858" style="72" width="8.56"/>
    <col collapsed="false" customWidth="true" hidden="false" outlineLevel="0" max="14859" min="14859" style="72" width="7.11"/>
    <col collapsed="false" customWidth="false" hidden="false" outlineLevel="0" max="15104" min="14860" style="72" width="9.11"/>
    <col collapsed="false" customWidth="true" hidden="false" outlineLevel="0" max="15105" min="15105" style="72" width="5.56"/>
    <col collapsed="false" customWidth="true" hidden="false" outlineLevel="0" max="15106" min="15106" style="72" width="8.11"/>
    <col collapsed="false" customWidth="true" hidden="false" outlineLevel="0" max="15108" min="15107" style="72" width="4.56"/>
    <col collapsed="false" customWidth="true" hidden="false" outlineLevel="0" max="15110" min="15109" style="72" width="10.56"/>
    <col collapsed="false" customWidth="true" hidden="false" outlineLevel="0" max="15111" min="15111" style="72" width="6.56"/>
    <col collapsed="false" customWidth="true" hidden="false" outlineLevel="0" max="15112" min="15112" style="72" width="5.56"/>
    <col collapsed="false" customWidth="true" hidden="false" outlineLevel="0" max="15113" min="15113" style="72" width="44.56"/>
    <col collapsed="false" customWidth="true" hidden="false" outlineLevel="0" max="15114" min="15114" style="72" width="8.56"/>
    <col collapsed="false" customWidth="true" hidden="false" outlineLevel="0" max="15115" min="15115" style="72" width="7.11"/>
    <col collapsed="false" customWidth="false" hidden="false" outlineLevel="0" max="15360" min="15116" style="72" width="9.11"/>
    <col collapsed="false" customWidth="true" hidden="false" outlineLevel="0" max="15361" min="15361" style="72" width="5.56"/>
    <col collapsed="false" customWidth="true" hidden="false" outlineLevel="0" max="15362" min="15362" style="72" width="8.11"/>
    <col collapsed="false" customWidth="true" hidden="false" outlineLevel="0" max="15364" min="15363" style="72" width="4.56"/>
    <col collapsed="false" customWidth="true" hidden="false" outlineLevel="0" max="15366" min="15365" style="72" width="10.56"/>
    <col collapsed="false" customWidth="true" hidden="false" outlineLevel="0" max="15367" min="15367" style="72" width="6.56"/>
    <col collapsed="false" customWidth="true" hidden="false" outlineLevel="0" max="15368" min="15368" style="72" width="5.56"/>
    <col collapsed="false" customWidth="true" hidden="false" outlineLevel="0" max="15369" min="15369" style="72" width="44.56"/>
    <col collapsed="false" customWidth="true" hidden="false" outlineLevel="0" max="15370" min="15370" style="72" width="8.56"/>
    <col collapsed="false" customWidth="true" hidden="false" outlineLevel="0" max="15371" min="15371" style="72" width="7.11"/>
    <col collapsed="false" customWidth="false" hidden="false" outlineLevel="0" max="15616" min="15372" style="72" width="9.11"/>
    <col collapsed="false" customWidth="true" hidden="false" outlineLevel="0" max="15617" min="15617" style="72" width="5.56"/>
    <col collapsed="false" customWidth="true" hidden="false" outlineLevel="0" max="15618" min="15618" style="72" width="8.11"/>
    <col collapsed="false" customWidth="true" hidden="false" outlineLevel="0" max="15620" min="15619" style="72" width="4.56"/>
    <col collapsed="false" customWidth="true" hidden="false" outlineLevel="0" max="15622" min="15621" style="72" width="10.56"/>
    <col collapsed="false" customWidth="true" hidden="false" outlineLevel="0" max="15623" min="15623" style="72" width="6.56"/>
    <col collapsed="false" customWidth="true" hidden="false" outlineLevel="0" max="15624" min="15624" style="72" width="5.56"/>
    <col collapsed="false" customWidth="true" hidden="false" outlineLevel="0" max="15625" min="15625" style="72" width="44.56"/>
    <col collapsed="false" customWidth="true" hidden="false" outlineLevel="0" max="15626" min="15626" style="72" width="8.56"/>
    <col collapsed="false" customWidth="true" hidden="false" outlineLevel="0" max="15627" min="15627" style="72" width="7.11"/>
    <col collapsed="false" customWidth="false" hidden="false" outlineLevel="0" max="15872" min="15628" style="72" width="9.11"/>
    <col collapsed="false" customWidth="true" hidden="false" outlineLevel="0" max="15873" min="15873" style="72" width="5.56"/>
    <col collapsed="false" customWidth="true" hidden="false" outlineLevel="0" max="15874" min="15874" style="72" width="8.11"/>
    <col collapsed="false" customWidth="true" hidden="false" outlineLevel="0" max="15876" min="15875" style="72" width="4.56"/>
    <col collapsed="false" customWidth="true" hidden="false" outlineLevel="0" max="15878" min="15877" style="72" width="10.56"/>
    <col collapsed="false" customWidth="true" hidden="false" outlineLevel="0" max="15879" min="15879" style="72" width="6.56"/>
    <col collapsed="false" customWidth="true" hidden="false" outlineLevel="0" max="15880" min="15880" style="72" width="5.56"/>
    <col collapsed="false" customWidth="true" hidden="false" outlineLevel="0" max="15881" min="15881" style="72" width="44.56"/>
    <col collapsed="false" customWidth="true" hidden="false" outlineLevel="0" max="15882" min="15882" style="72" width="8.56"/>
    <col collapsed="false" customWidth="true" hidden="false" outlineLevel="0" max="15883" min="15883" style="72" width="7.11"/>
    <col collapsed="false" customWidth="false" hidden="false" outlineLevel="0" max="16128" min="15884" style="72" width="9.11"/>
    <col collapsed="false" customWidth="true" hidden="false" outlineLevel="0" max="16129" min="16129" style="72" width="5.56"/>
    <col collapsed="false" customWidth="true" hidden="false" outlineLevel="0" max="16130" min="16130" style="72" width="8.11"/>
    <col collapsed="false" customWidth="true" hidden="false" outlineLevel="0" max="16132" min="16131" style="72" width="4.56"/>
    <col collapsed="false" customWidth="true" hidden="false" outlineLevel="0" max="16134" min="16133" style="72" width="10.56"/>
    <col collapsed="false" customWidth="true" hidden="false" outlineLevel="0" max="16135" min="16135" style="72" width="6.56"/>
    <col collapsed="false" customWidth="true" hidden="false" outlineLevel="0" max="16136" min="16136" style="72" width="5.56"/>
    <col collapsed="false" customWidth="true" hidden="false" outlineLevel="0" max="16137" min="16137" style="72" width="44.56"/>
    <col collapsed="false" customWidth="true" hidden="false" outlineLevel="0" max="16138" min="16138" style="72" width="8.56"/>
    <col collapsed="false" customWidth="true" hidden="false" outlineLevel="0" max="16139" min="16139" style="72" width="7.11"/>
    <col collapsed="false" customWidth="false" hidden="false" outlineLevel="0" max="16384" min="16140" style="72" width="9.11"/>
  </cols>
  <sheetData>
    <row r="1" s="74" customFormat="true" ht="24" hidden="false" customHeight="true" outlineLevel="0" collapsed="false">
      <c r="A1" s="73" t="s">
        <v>33</v>
      </c>
      <c r="B1" s="52" t="s">
        <v>32</v>
      </c>
      <c r="C1" s="50" t="s">
        <v>153</v>
      </c>
      <c r="D1" s="50" t="s">
        <v>104</v>
      </c>
      <c r="E1" s="51" t="s">
        <v>154</v>
      </c>
      <c r="F1" s="51" t="s">
        <v>155</v>
      </c>
      <c r="G1" s="54" t="s">
        <v>156</v>
      </c>
      <c r="H1" s="51" t="s">
        <v>157</v>
      </c>
      <c r="I1" s="51" t="s">
        <v>105</v>
      </c>
    </row>
    <row r="2" customFormat="false" ht="9.75" hidden="false" customHeight="false" outlineLevel="0" collapsed="false">
      <c r="A2" s="75"/>
      <c r="B2" s="76"/>
      <c r="C2" s="56"/>
      <c r="D2" s="75"/>
      <c r="E2" s="77"/>
      <c r="F2" s="77"/>
      <c r="H2" s="60"/>
    </row>
    <row r="3" customFormat="false" ht="9.75" hidden="false" customHeight="false" outlineLevel="0" collapsed="false">
      <c r="A3" s="75"/>
      <c r="B3" s="76"/>
      <c r="C3" s="56"/>
      <c r="D3" s="75"/>
      <c r="E3" s="77"/>
      <c r="F3" s="77"/>
      <c r="H3" s="60"/>
    </row>
    <row r="4" customFormat="false" ht="9.75" hidden="false" customHeight="false" outlineLevel="0" collapsed="false">
      <c r="A4" s="75"/>
      <c r="B4" s="76"/>
      <c r="C4" s="56"/>
      <c r="D4" s="75"/>
      <c r="E4" s="77"/>
      <c r="F4" s="77"/>
      <c r="H4" s="60"/>
    </row>
    <row r="5" customFormat="false" ht="9.75" hidden="false" customHeight="false" outlineLevel="0" collapsed="false">
      <c r="A5" s="75"/>
      <c r="B5" s="76"/>
      <c r="C5" s="56"/>
      <c r="D5" s="75"/>
      <c r="E5" s="77"/>
      <c r="F5" s="77"/>
      <c r="H5" s="60"/>
    </row>
    <row r="6" customFormat="false" ht="9.75" hidden="false" customHeight="false" outlineLevel="0" collapsed="false">
      <c r="A6" s="75"/>
      <c r="B6" s="76"/>
      <c r="C6" s="56"/>
      <c r="D6" s="75"/>
      <c r="E6" s="77"/>
      <c r="F6" s="77"/>
      <c r="H6" s="60"/>
    </row>
    <row r="7" customFormat="false" ht="9.75" hidden="false" customHeight="false" outlineLevel="0" collapsed="false">
      <c r="A7" s="75"/>
      <c r="B7" s="76"/>
      <c r="C7" s="56"/>
      <c r="D7" s="75"/>
      <c r="E7" s="77"/>
      <c r="F7" s="77"/>
      <c r="H7" s="60"/>
    </row>
    <row r="8" customFormat="false" ht="9.75" hidden="false" customHeight="false" outlineLevel="0" collapsed="false">
      <c r="A8" s="75"/>
      <c r="B8" s="76"/>
      <c r="C8" s="56"/>
      <c r="D8" s="75"/>
      <c r="E8" s="77"/>
      <c r="F8" s="77"/>
      <c r="H8" s="60"/>
    </row>
    <row r="9" customFormat="false" ht="9.75" hidden="false" customHeight="false" outlineLevel="0" collapsed="false">
      <c r="A9" s="75"/>
      <c r="B9" s="76"/>
      <c r="C9" s="56"/>
      <c r="D9" s="75"/>
      <c r="E9" s="77"/>
      <c r="F9" s="77"/>
      <c r="H9" s="60"/>
    </row>
    <row r="10" customFormat="false" ht="9.75" hidden="false" customHeight="false" outlineLevel="0" collapsed="false">
      <c r="A10" s="75"/>
      <c r="B10" s="76"/>
      <c r="C10" s="56"/>
      <c r="D10" s="75"/>
      <c r="E10" s="77"/>
      <c r="F10" s="77"/>
      <c r="H10" s="60"/>
    </row>
    <row r="11" customFormat="false" ht="9.75" hidden="false" customHeight="false" outlineLevel="0" collapsed="false">
      <c r="A11" s="75"/>
      <c r="B11" s="76"/>
      <c r="C11" s="56"/>
      <c r="D11" s="75"/>
      <c r="E11" s="77"/>
      <c r="F11" s="77"/>
      <c r="H11" s="60"/>
    </row>
    <row r="12" customFormat="false" ht="9.75" hidden="false" customHeight="false" outlineLevel="0" collapsed="false">
      <c r="A12" s="75"/>
      <c r="B12" s="76"/>
      <c r="C12" s="56"/>
      <c r="D12" s="75"/>
      <c r="E12" s="77"/>
      <c r="F12" s="77"/>
      <c r="H12" s="60"/>
    </row>
    <row r="13" customFormat="false" ht="9.75" hidden="false" customHeight="false" outlineLevel="0" collapsed="false">
      <c r="A13" s="75"/>
      <c r="B13" s="76"/>
      <c r="C13" s="56"/>
      <c r="D13" s="75"/>
      <c r="E13" s="77"/>
      <c r="F13" s="77"/>
      <c r="H13" s="60"/>
    </row>
    <row r="14" customFormat="false" ht="9.75" hidden="false" customHeight="false" outlineLevel="0" collapsed="false">
      <c r="A14" s="75"/>
      <c r="B14" s="76"/>
      <c r="C14" s="56"/>
      <c r="D14" s="75"/>
      <c r="E14" s="77"/>
      <c r="F14" s="77"/>
      <c r="H14" s="60"/>
    </row>
    <row r="15" customFormat="false" ht="9.75" hidden="false" customHeight="false" outlineLevel="0" collapsed="false">
      <c r="A15" s="75"/>
      <c r="B15" s="76"/>
      <c r="C15" s="56"/>
      <c r="D15" s="75"/>
      <c r="E15" s="77"/>
      <c r="F15" s="77"/>
      <c r="H15" s="60"/>
    </row>
    <row r="16" customFormat="false" ht="9.75" hidden="false" customHeight="false" outlineLevel="0" collapsed="false">
      <c r="A16" s="75"/>
      <c r="B16" s="76"/>
      <c r="C16" s="56"/>
      <c r="D16" s="75"/>
      <c r="E16" s="77"/>
      <c r="F16" s="77"/>
      <c r="H16" s="60"/>
    </row>
    <row r="17" customFormat="false" ht="9.75" hidden="false" customHeight="false" outlineLevel="0" collapsed="false">
      <c r="A17" s="75"/>
      <c r="B17" s="76"/>
      <c r="C17" s="56"/>
      <c r="D17" s="75"/>
      <c r="E17" s="77"/>
      <c r="F17" s="77"/>
      <c r="H17" s="60"/>
    </row>
    <row r="18" customFormat="false" ht="9.75" hidden="false" customHeight="false" outlineLevel="0" collapsed="false">
      <c r="A18" s="75"/>
      <c r="B18" s="76"/>
      <c r="C18" s="56"/>
      <c r="D18" s="75"/>
      <c r="E18" s="77"/>
      <c r="F18" s="77"/>
      <c r="H18" s="60"/>
    </row>
    <row r="19" customFormat="false" ht="9.75" hidden="false" customHeight="false" outlineLevel="0" collapsed="false">
      <c r="A19" s="75"/>
      <c r="B19" s="76"/>
      <c r="C19" s="56"/>
      <c r="D19" s="75"/>
      <c r="E19" s="77"/>
      <c r="F19" s="77"/>
      <c r="H19" s="60"/>
    </row>
    <row r="20" customFormat="false" ht="9.75" hidden="false" customHeight="false" outlineLevel="0" collapsed="false">
      <c r="A20" s="75"/>
      <c r="B20" s="76"/>
      <c r="C20" s="56"/>
      <c r="D20" s="75"/>
      <c r="E20" s="77"/>
      <c r="F20" s="77"/>
      <c r="H20" s="60"/>
    </row>
    <row r="21" customFormat="false" ht="9.75" hidden="false" customHeight="false" outlineLevel="0" collapsed="false">
      <c r="A21" s="75"/>
      <c r="B21" s="76"/>
      <c r="C21" s="56"/>
      <c r="D21" s="75"/>
      <c r="E21" s="77"/>
      <c r="F21" s="77"/>
      <c r="H21" s="60"/>
    </row>
    <row r="22" customFormat="false" ht="9.75" hidden="false" customHeight="false" outlineLevel="0" collapsed="false">
      <c r="A22" s="75"/>
      <c r="B22" s="76"/>
      <c r="C22" s="56"/>
      <c r="D22" s="75"/>
      <c r="E22" s="77"/>
      <c r="F22" s="77"/>
      <c r="H22" s="60"/>
    </row>
    <row r="23" customFormat="false" ht="9.75" hidden="false" customHeight="false" outlineLevel="0" collapsed="false">
      <c r="A23" s="75"/>
      <c r="B23" s="76"/>
      <c r="C23" s="56"/>
      <c r="D23" s="75"/>
      <c r="E23" s="77"/>
      <c r="F23" s="77"/>
      <c r="H23" s="60"/>
    </row>
    <row r="24" customFormat="false" ht="9.75" hidden="false" customHeight="false" outlineLevel="0" collapsed="false">
      <c r="A24" s="75"/>
      <c r="B24" s="76"/>
      <c r="C24" s="56"/>
      <c r="D24" s="75"/>
      <c r="E24" s="77"/>
      <c r="F24" s="77"/>
      <c r="H24" s="60"/>
    </row>
    <row r="25" customFormat="false" ht="9.75" hidden="false" customHeight="false" outlineLevel="0" collapsed="false">
      <c r="A25" s="75"/>
      <c r="B25" s="76"/>
      <c r="C25" s="56"/>
      <c r="D25" s="75"/>
      <c r="E25" s="77"/>
      <c r="F25" s="77"/>
      <c r="H25" s="60"/>
    </row>
    <row r="26" customFormat="false" ht="9.75" hidden="false" customHeight="false" outlineLevel="0" collapsed="false">
      <c r="A26" s="75"/>
      <c r="B26" s="76"/>
      <c r="C26" s="56"/>
      <c r="D26" s="75"/>
      <c r="E26" s="77"/>
      <c r="F26" s="77"/>
      <c r="H26" s="60"/>
    </row>
    <row r="27" customFormat="false" ht="9.75" hidden="false" customHeight="false" outlineLevel="0" collapsed="false">
      <c r="A27" s="75"/>
      <c r="B27" s="76"/>
      <c r="C27" s="56"/>
      <c r="D27" s="75"/>
      <c r="E27" s="77"/>
      <c r="F27" s="77"/>
      <c r="H27" s="60"/>
    </row>
    <row r="28" customFormat="false" ht="9.75" hidden="false" customHeight="false" outlineLevel="0" collapsed="false">
      <c r="A28" s="75"/>
      <c r="B28" s="76"/>
      <c r="C28" s="56"/>
      <c r="D28" s="75"/>
      <c r="E28" s="77"/>
      <c r="F28" s="77"/>
      <c r="H28" s="60"/>
    </row>
    <row r="29" customFormat="false" ht="9.75" hidden="false" customHeight="false" outlineLevel="0" collapsed="false">
      <c r="A29" s="75"/>
      <c r="B29" s="76"/>
      <c r="C29" s="56"/>
      <c r="D29" s="75"/>
      <c r="E29" s="77"/>
      <c r="F29" s="77"/>
      <c r="H29" s="60"/>
    </row>
    <row r="30" customFormat="false" ht="9.75" hidden="false" customHeight="false" outlineLevel="0" collapsed="false">
      <c r="A30" s="75"/>
      <c r="B30" s="76"/>
      <c r="C30" s="56"/>
      <c r="D30" s="75"/>
      <c r="E30" s="77"/>
      <c r="F30" s="77"/>
      <c r="H30" s="60"/>
    </row>
    <row r="31" customFormat="false" ht="9.75" hidden="false" customHeight="false" outlineLevel="0" collapsed="false">
      <c r="A31" s="75"/>
      <c r="B31" s="76"/>
      <c r="C31" s="56"/>
      <c r="D31" s="75"/>
      <c r="E31" s="77"/>
      <c r="F31" s="77"/>
      <c r="H31" s="60"/>
    </row>
    <row r="32" customFormat="false" ht="9.75" hidden="false" customHeight="false" outlineLevel="0" collapsed="false">
      <c r="A32" s="75"/>
      <c r="B32" s="76"/>
      <c r="C32" s="56"/>
      <c r="D32" s="75"/>
      <c r="E32" s="77"/>
      <c r="F32" s="77"/>
      <c r="H32" s="60"/>
    </row>
    <row r="33" customFormat="false" ht="9.75" hidden="false" customHeight="false" outlineLevel="0" collapsed="false">
      <c r="A33" s="75"/>
      <c r="B33" s="76"/>
      <c r="C33" s="56"/>
      <c r="D33" s="75"/>
      <c r="E33" s="77"/>
      <c r="F33" s="77"/>
      <c r="H33" s="60"/>
    </row>
    <row r="34" customFormat="false" ht="9.75" hidden="false" customHeight="false" outlineLevel="0" collapsed="false">
      <c r="A34" s="75"/>
      <c r="B34" s="76"/>
      <c r="C34" s="56"/>
      <c r="D34" s="75"/>
      <c r="E34" s="77"/>
      <c r="F34" s="77"/>
      <c r="H34" s="60"/>
    </row>
    <row r="35" customFormat="false" ht="9.75" hidden="false" customHeight="false" outlineLevel="0" collapsed="false">
      <c r="A35" s="75"/>
      <c r="B35" s="76"/>
      <c r="C35" s="56"/>
      <c r="D35" s="75"/>
      <c r="E35" s="77"/>
      <c r="F35" s="77"/>
      <c r="H35" s="60"/>
    </row>
    <row r="36" customFormat="false" ht="9.75" hidden="false" customHeight="false" outlineLevel="0" collapsed="false">
      <c r="A36" s="75"/>
      <c r="B36" s="76"/>
      <c r="C36" s="56"/>
      <c r="D36" s="75"/>
      <c r="E36" s="77"/>
      <c r="F36" s="77"/>
      <c r="H36" s="60"/>
    </row>
    <row r="37" customFormat="false" ht="9.75" hidden="false" customHeight="false" outlineLevel="0" collapsed="false">
      <c r="A37" s="75"/>
      <c r="B37" s="76"/>
      <c r="C37" s="56"/>
      <c r="D37" s="75"/>
      <c r="E37" s="77"/>
      <c r="F37" s="77"/>
      <c r="H37" s="60"/>
    </row>
    <row r="38" customFormat="false" ht="9.75" hidden="false" customHeight="false" outlineLevel="0" collapsed="false">
      <c r="A38" s="75"/>
      <c r="B38" s="76"/>
      <c r="C38" s="56"/>
      <c r="D38" s="75"/>
      <c r="E38" s="77"/>
      <c r="F38" s="77"/>
      <c r="H38" s="60"/>
    </row>
    <row r="39" customFormat="false" ht="9.75" hidden="false" customHeight="false" outlineLevel="0" collapsed="false">
      <c r="A39" s="75"/>
      <c r="B39" s="76"/>
      <c r="C39" s="56"/>
      <c r="D39" s="75"/>
      <c r="E39" s="77"/>
      <c r="F39" s="77"/>
      <c r="H39" s="60"/>
    </row>
    <row r="40" customFormat="false" ht="9.75" hidden="false" customHeight="false" outlineLevel="0" collapsed="false">
      <c r="A40" s="75"/>
      <c r="B40" s="76"/>
      <c r="C40" s="56"/>
      <c r="D40" s="75"/>
      <c r="E40" s="77"/>
      <c r="F40" s="77"/>
      <c r="H40" s="60"/>
    </row>
    <row r="41" customFormat="false" ht="9.75" hidden="false" customHeight="false" outlineLevel="0" collapsed="false">
      <c r="A41" s="75"/>
      <c r="B41" s="76"/>
      <c r="C41" s="56"/>
      <c r="D41" s="75"/>
      <c r="E41" s="77"/>
      <c r="F41" s="77"/>
      <c r="H41" s="60"/>
    </row>
    <row r="42" customFormat="false" ht="9.75" hidden="false" customHeight="false" outlineLevel="0" collapsed="false">
      <c r="A42" s="75"/>
      <c r="B42" s="76"/>
      <c r="C42" s="56"/>
      <c r="D42" s="75"/>
      <c r="E42" s="77"/>
      <c r="F42" s="77"/>
      <c r="H42" s="60"/>
    </row>
    <row r="43" customFormat="false" ht="9.75" hidden="false" customHeight="false" outlineLevel="0" collapsed="false">
      <c r="A43" s="75"/>
      <c r="B43" s="76"/>
      <c r="C43" s="56"/>
      <c r="D43" s="75"/>
      <c r="E43" s="77"/>
      <c r="F43" s="77"/>
      <c r="H43" s="60"/>
    </row>
    <row r="44" customFormat="false" ht="9.75" hidden="false" customHeight="false" outlineLevel="0" collapsed="false">
      <c r="A44" s="75"/>
      <c r="B44" s="76"/>
      <c r="C44" s="56"/>
      <c r="D44" s="75"/>
      <c r="E44" s="77"/>
      <c r="F44" s="77"/>
      <c r="H44" s="60"/>
    </row>
    <row r="45" customFormat="false" ht="9.75" hidden="false" customHeight="false" outlineLevel="0" collapsed="false">
      <c r="A45" s="75"/>
      <c r="B45" s="76"/>
      <c r="C45" s="56"/>
      <c r="D45" s="75"/>
      <c r="E45" s="77"/>
      <c r="F45" s="77"/>
      <c r="H45" s="60"/>
    </row>
    <row r="46" customFormat="false" ht="9.75" hidden="false" customHeight="false" outlineLevel="0" collapsed="false">
      <c r="A46" s="75"/>
      <c r="B46" s="76"/>
      <c r="C46" s="56"/>
      <c r="D46" s="75"/>
      <c r="E46" s="77"/>
      <c r="F46" s="77"/>
      <c r="H46" s="60"/>
    </row>
    <row r="47" customFormat="false" ht="9.75" hidden="false" customHeight="false" outlineLevel="0" collapsed="false">
      <c r="A47" s="75"/>
      <c r="B47" s="76"/>
      <c r="C47" s="56"/>
      <c r="D47" s="75"/>
      <c r="E47" s="77"/>
      <c r="F47" s="77"/>
      <c r="H47" s="60"/>
    </row>
    <row r="48" customFormat="false" ht="9.75" hidden="false" customHeight="false" outlineLevel="0" collapsed="false">
      <c r="A48" s="75"/>
      <c r="B48" s="76"/>
      <c r="C48" s="56"/>
      <c r="D48" s="75"/>
      <c r="E48" s="77"/>
      <c r="F48" s="77"/>
      <c r="H48" s="60"/>
    </row>
    <row r="49" customFormat="false" ht="9.75" hidden="false" customHeight="false" outlineLevel="0" collapsed="false">
      <c r="A49" s="75"/>
      <c r="B49" s="76"/>
      <c r="C49" s="56"/>
      <c r="D49" s="75"/>
      <c r="E49" s="77"/>
      <c r="F49" s="77"/>
      <c r="H49" s="60"/>
    </row>
    <row r="50" customFormat="false" ht="9.75" hidden="false" customHeight="false" outlineLevel="0" collapsed="false">
      <c r="A50" s="75"/>
      <c r="B50" s="76"/>
      <c r="C50" s="56"/>
      <c r="D50" s="75"/>
      <c r="E50" s="77"/>
      <c r="F50" s="77"/>
      <c r="H50" s="60"/>
    </row>
    <row r="51" customFormat="false" ht="9.75" hidden="false" customHeight="false" outlineLevel="0" collapsed="false">
      <c r="A51" s="75"/>
      <c r="B51" s="76"/>
      <c r="C51" s="56"/>
      <c r="D51" s="75"/>
      <c r="E51" s="77"/>
      <c r="F51" s="77"/>
      <c r="H51" s="60"/>
    </row>
    <row r="52" customFormat="false" ht="9.75" hidden="false" customHeight="false" outlineLevel="0" collapsed="false">
      <c r="A52" s="75"/>
      <c r="B52" s="76"/>
      <c r="C52" s="56"/>
      <c r="D52" s="75"/>
      <c r="E52" s="77"/>
      <c r="F52" s="77"/>
      <c r="H52" s="60"/>
    </row>
    <row r="53" customFormat="false" ht="9.75" hidden="false" customHeight="false" outlineLevel="0" collapsed="false">
      <c r="A53" s="75"/>
      <c r="B53" s="76"/>
      <c r="C53" s="56"/>
      <c r="D53" s="75"/>
      <c r="E53" s="77"/>
      <c r="F53" s="77"/>
      <c r="H53" s="60"/>
    </row>
    <row r="54" customFormat="false" ht="9.75" hidden="false" customHeight="false" outlineLevel="0" collapsed="false">
      <c r="A54" s="75"/>
      <c r="B54" s="76"/>
      <c r="C54" s="56"/>
      <c r="D54" s="75"/>
      <c r="E54" s="77"/>
      <c r="F54" s="77"/>
      <c r="H54" s="60"/>
    </row>
    <row r="55" customFormat="false" ht="9.75" hidden="false" customHeight="false" outlineLevel="0" collapsed="false">
      <c r="A55" s="75"/>
      <c r="B55" s="76"/>
      <c r="C55" s="56"/>
      <c r="D55" s="75"/>
      <c r="E55" s="77"/>
      <c r="F55" s="77"/>
      <c r="H55" s="60"/>
    </row>
    <row r="56" customFormat="false" ht="9.75" hidden="false" customHeight="false" outlineLevel="0" collapsed="false">
      <c r="A56" s="75"/>
      <c r="B56" s="76"/>
      <c r="C56" s="56"/>
      <c r="D56" s="75"/>
      <c r="E56" s="77"/>
      <c r="F56" s="77"/>
      <c r="H56" s="60"/>
    </row>
    <row r="57" customFormat="false" ht="9.75" hidden="false" customHeight="false" outlineLevel="0" collapsed="false">
      <c r="A57" s="75"/>
      <c r="B57" s="76"/>
      <c r="C57" s="56"/>
      <c r="D57" s="75"/>
      <c r="E57" s="77"/>
      <c r="F57" s="77"/>
      <c r="H57" s="60"/>
    </row>
    <row r="58" customFormat="false" ht="9.75" hidden="false" customHeight="false" outlineLevel="0" collapsed="false">
      <c r="A58" s="75"/>
      <c r="B58" s="76"/>
      <c r="C58" s="56"/>
      <c r="D58" s="75"/>
      <c r="E58" s="77"/>
      <c r="F58" s="77"/>
      <c r="H58" s="60"/>
    </row>
    <row r="59" customFormat="false" ht="9.75" hidden="false" customHeight="false" outlineLevel="0" collapsed="false">
      <c r="A59" s="75"/>
      <c r="B59" s="76"/>
      <c r="C59" s="56"/>
      <c r="D59" s="75"/>
      <c r="E59" s="77"/>
      <c r="F59" s="77"/>
      <c r="H59" s="60"/>
    </row>
    <row r="60" customFormat="false" ht="9.75" hidden="false" customHeight="false" outlineLevel="0" collapsed="false">
      <c r="A60" s="75"/>
      <c r="B60" s="76"/>
      <c r="C60" s="56"/>
      <c r="D60" s="75"/>
      <c r="E60" s="77"/>
      <c r="F60" s="77"/>
      <c r="H60" s="60"/>
    </row>
    <row r="61" customFormat="false" ht="9.75" hidden="false" customHeight="false" outlineLevel="0" collapsed="false">
      <c r="A61" s="75"/>
      <c r="B61" s="76"/>
      <c r="C61" s="56"/>
      <c r="D61" s="75"/>
      <c r="E61" s="77"/>
      <c r="F61" s="77"/>
      <c r="H61" s="60"/>
    </row>
    <row r="62" customFormat="false" ht="9.75" hidden="false" customHeight="false" outlineLevel="0" collapsed="false">
      <c r="A62" s="75"/>
      <c r="B62" s="76"/>
      <c r="C62" s="56"/>
      <c r="D62" s="75"/>
      <c r="E62" s="77"/>
      <c r="F62" s="77"/>
      <c r="H62" s="60"/>
    </row>
    <row r="63" customFormat="false" ht="9.75" hidden="false" customHeight="false" outlineLevel="0" collapsed="false">
      <c r="A63" s="75"/>
      <c r="B63" s="76"/>
      <c r="C63" s="56"/>
      <c r="D63" s="75"/>
      <c r="E63" s="77"/>
      <c r="F63" s="77"/>
      <c r="H63" s="60"/>
    </row>
    <row r="64" customFormat="false" ht="9.75" hidden="false" customHeight="false" outlineLevel="0" collapsed="false">
      <c r="A64" s="75"/>
      <c r="B64" s="76"/>
      <c r="C64" s="56"/>
      <c r="D64" s="75"/>
      <c r="E64" s="77"/>
      <c r="F64" s="77"/>
      <c r="H64" s="60"/>
    </row>
    <row r="65" customFormat="false" ht="9.75" hidden="false" customHeight="false" outlineLevel="0" collapsed="false">
      <c r="A65" s="75"/>
      <c r="B65" s="76"/>
      <c r="C65" s="56"/>
      <c r="D65" s="75"/>
      <c r="E65" s="77"/>
      <c r="F65" s="77"/>
      <c r="H65" s="60"/>
    </row>
    <row r="66" customFormat="false" ht="9.75" hidden="false" customHeight="false" outlineLevel="0" collapsed="false">
      <c r="A66" s="75"/>
      <c r="B66" s="76"/>
      <c r="C66" s="56"/>
      <c r="D66" s="75"/>
      <c r="E66" s="77"/>
      <c r="F66" s="77"/>
      <c r="H66" s="60"/>
    </row>
    <row r="67" customFormat="false" ht="9.75" hidden="false" customHeight="false" outlineLevel="0" collapsed="false">
      <c r="A67" s="75"/>
      <c r="B67" s="76"/>
      <c r="C67" s="56"/>
      <c r="D67" s="75"/>
      <c r="E67" s="77"/>
      <c r="F67" s="77"/>
      <c r="H67" s="60"/>
    </row>
    <row r="68" customFormat="false" ht="9.75" hidden="false" customHeight="false" outlineLevel="0" collapsed="false">
      <c r="A68" s="75"/>
      <c r="B68" s="76"/>
      <c r="C68" s="56"/>
      <c r="D68" s="75"/>
      <c r="E68" s="77"/>
      <c r="F68" s="77"/>
      <c r="H68" s="60"/>
    </row>
    <row r="69" customFormat="false" ht="9.75" hidden="false" customHeight="false" outlineLevel="0" collapsed="false">
      <c r="A69" s="75"/>
      <c r="B69" s="76"/>
      <c r="C69" s="56"/>
      <c r="D69" s="75"/>
      <c r="E69" s="77"/>
      <c r="F69" s="77"/>
      <c r="H69" s="60"/>
    </row>
    <row r="70" customFormat="false" ht="9.75" hidden="false" customHeight="false" outlineLevel="0" collapsed="false">
      <c r="A70" s="75"/>
      <c r="B70" s="76"/>
      <c r="C70" s="56"/>
      <c r="D70" s="75"/>
      <c r="E70" s="77"/>
      <c r="F70" s="77"/>
      <c r="H70" s="60"/>
    </row>
    <row r="71" customFormat="false" ht="9.75" hidden="false" customHeight="false" outlineLevel="0" collapsed="false">
      <c r="A71" s="75"/>
      <c r="B71" s="76"/>
      <c r="C71" s="56"/>
      <c r="D71" s="75"/>
      <c r="E71" s="77"/>
      <c r="F71" s="77"/>
      <c r="H71" s="60"/>
    </row>
    <row r="72" customFormat="false" ht="9.75" hidden="false" customHeight="false" outlineLevel="0" collapsed="false">
      <c r="A72" s="75"/>
      <c r="B72" s="76"/>
      <c r="C72" s="56"/>
      <c r="D72" s="75"/>
      <c r="E72" s="77"/>
      <c r="F72" s="77"/>
      <c r="H72" s="60"/>
    </row>
    <row r="73" customFormat="false" ht="9.75" hidden="false" customHeight="false" outlineLevel="0" collapsed="false">
      <c r="A73" s="75"/>
      <c r="B73" s="76"/>
      <c r="C73" s="56"/>
      <c r="D73" s="75"/>
      <c r="E73" s="77"/>
      <c r="F73" s="77"/>
      <c r="H73" s="60"/>
    </row>
    <row r="74" customFormat="false" ht="9.75" hidden="false" customHeight="false" outlineLevel="0" collapsed="false">
      <c r="A74" s="75"/>
      <c r="B74" s="76"/>
      <c r="C74" s="56"/>
      <c r="D74" s="75"/>
      <c r="E74" s="77"/>
      <c r="F74" s="77"/>
      <c r="H74" s="60"/>
    </row>
    <row r="75" customFormat="false" ht="9.75" hidden="false" customHeight="false" outlineLevel="0" collapsed="false">
      <c r="A75" s="75"/>
      <c r="B75" s="76"/>
      <c r="C75" s="56"/>
      <c r="D75" s="75"/>
      <c r="E75" s="77"/>
      <c r="F75" s="77"/>
      <c r="H75" s="60"/>
    </row>
    <row r="76" customFormat="false" ht="9.75" hidden="false" customHeight="false" outlineLevel="0" collapsed="false">
      <c r="A76" s="75"/>
      <c r="B76" s="76"/>
      <c r="C76" s="56"/>
      <c r="D76" s="75"/>
      <c r="E76" s="77"/>
      <c r="F76" s="77"/>
      <c r="H76" s="60"/>
    </row>
    <row r="77" customFormat="false" ht="9.75" hidden="false" customHeight="false" outlineLevel="0" collapsed="false">
      <c r="A77" s="75"/>
      <c r="B77" s="76"/>
      <c r="C77" s="56"/>
      <c r="D77" s="75"/>
      <c r="E77" s="77"/>
      <c r="F77" s="77"/>
      <c r="H77" s="60"/>
    </row>
    <row r="78" customFormat="false" ht="9.75" hidden="false" customHeight="false" outlineLevel="0" collapsed="false">
      <c r="A78" s="75"/>
      <c r="B78" s="76"/>
      <c r="D78" s="75"/>
      <c r="E78" s="77"/>
      <c r="F78" s="77"/>
    </row>
    <row r="79" customFormat="false" ht="9.75" hidden="false" customHeight="false" outlineLevel="0" collapsed="false">
      <c r="A79" s="75"/>
      <c r="B79" s="76"/>
      <c r="D79" s="75"/>
      <c r="E79" s="77"/>
      <c r="F79" s="77"/>
    </row>
    <row r="80" customFormat="false" ht="9.75" hidden="false" customHeight="false" outlineLevel="0" collapsed="false">
      <c r="A80" s="75"/>
      <c r="B80" s="76"/>
      <c r="D80" s="75"/>
      <c r="E80" s="77"/>
      <c r="F80" s="77"/>
    </row>
    <row r="81" customFormat="false" ht="9.75" hidden="false" customHeight="false" outlineLevel="0" collapsed="false">
      <c r="A81" s="75"/>
      <c r="B81" s="76"/>
      <c r="D81" s="75"/>
      <c r="E81" s="77"/>
      <c r="F81" s="77"/>
    </row>
    <row r="82" customFormat="false" ht="9.75" hidden="false" customHeight="false" outlineLevel="0" collapsed="false">
      <c r="A82" s="75"/>
      <c r="B82" s="76"/>
      <c r="D82" s="75"/>
      <c r="E82" s="77"/>
      <c r="F82" s="77"/>
    </row>
    <row r="83" customFormat="false" ht="9.75" hidden="false" customHeight="false" outlineLevel="0" collapsed="false">
      <c r="A83" s="75"/>
      <c r="B83" s="76"/>
      <c r="D83" s="75"/>
      <c r="E83" s="77"/>
      <c r="F83" s="77"/>
    </row>
    <row r="84" customFormat="false" ht="9.75" hidden="false" customHeight="false" outlineLevel="0" collapsed="false">
      <c r="A84" s="75"/>
      <c r="B84" s="76"/>
      <c r="D84" s="75"/>
      <c r="E84" s="77"/>
      <c r="F84" s="77"/>
    </row>
    <row r="85" customFormat="false" ht="9.75" hidden="false" customHeight="false" outlineLevel="0" collapsed="false">
      <c r="A85" s="75"/>
      <c r="B85" s="76"/>
      <c r="D85" s="75"/>
      <c r="E85" s="77"/>
      <c r="F85" s="77"/>
    </row>
    <row r="86" customFormat="false" ht="9.75" hidden="false" customHeight="false" outlineLevel="0" collapsed="false">
      <c r="A86" s="75"/>
      <c r="B86" s="76"/>
      <c r="D86" s="75"/>
      <c r="E86" s="77"/>
      <c r="F86" s="77"/>
    </row>
    <row r="87" customFormat="false" ht="9.75" hidden="false" customHeight="false" outlineLevel="0" collapsed="false">
      <c r="A87" s="75"/>
      <c r="B87" s="76"/>
      <c r="D87" s="75"/>
      <c r="E87" s="77"/>
      <c r="F87" s="77"/>
    </row>
    <row r="88" customFormat="false" ht="9.75" hidden="false" customHeight="false" outlineLevel="0" collapsed="false">
      <c r="A88" s="75"/>
      <c r="B88" s="76"/>
      <c r="D88" s="75"/>
      <c r="E88" s="77"/>
      <c r="F88" s="77"/>
    </row>
    <row r="89" customFormat="false" ht="9.75" hidden="false" customHeight="false" outlineLevel="0" collapsed="false">
      <c r="A89" s="75"/>
      <c r="B89" s="76"/>
      <c r="D89" s="75"/>
      <c r="E89" s="77"/>
      <c r="F89" s="77"/>
    </row>
    <row r="90" customFormat="false" ht="9.75" hidden="false" customHeight="false" outlineLevel="0" collapsed="false">
      <c r="A90" s="75"/>
      <c r="B90" s="76"/>
      <c r="D90" s="75"/>
      <c r="E90" s="77"/>
      <c r="F90" s="77"/>
    </row>
    <row r="91" customFormat="false" ht="9.75" hidden="false" customHeight="false" outlineLevel="0" collapsed="false">
      <c r="A91" s="75"/>
      <c r="B91" s="76"/>
      <c r="D91" s="75"/>
      <c r="E91" s="77"/>
      <c r="F91" s="77"/>
    </row>
    <row r="92" customFormat="false" ht="9.75" hidden="false" customHeight="false" outlineLevel="0" collapsed="false">
      <c r="A92" s="75"/>
      <c r="B92" s="76"/>
      <c r="D92" s="75"/>
      <c r="E92" s="77"/>
      <c r="F92" s="77"/>
    </row>
    <row r="93" customFormat="false" ht="9.75" hidden="false" customHeight="false" outlineLevel="0" collapsed="false">
      <c r="A93" s="75"/>
      <c r="B93" s="76"/>
      <c r="D93" s="75"/>
      <c r="E93" s="77"/>
      <c r="F93" s="77"/>
    </row>
    <row r="94" customFormat="false" ht="9.75" hidden="false" customHeight="false" outlineLevel="0" collapsed="false">
      <c r="A94" s="75"/>
      <c r="B94" s="76"/>
      <c r="D94" s="75"/>
      <c r="E94" s="77"/>
      <c r="F94" s="77"/>
    </row>
    <row r="95" customFormat="false" ht="9.75" hidden="false" customHeight="false" outlineLevel="0" collapsed="false">
      <c r="A95" s="75"/>
      <c r="B95" s="76"/>
      <c r="D95" s="75"/>
      <c r="E95" s="77"/>
      <c r="F95" s="77"/>
    </row>
    <row r="96" customFormat="false" ht="9.75" hidden="false" customHeight="false" outlineLevel="0" collapsed="false">
      <c r="A96" s="75"/>
      <c r="B96" s="76"/>
      <c r="D96" s="75"/>
      <c r="E96" s="77"/>
      <c r="F96" s="77"/>
    </row>
    <row r="97" customFormat="false" ht="9.75" hidden="false" customHeight="false" outlineLevel="0" collapsed="false">
      <c r="A97" s="75"/>
      <c r="B97" s="76"/>
      <c r="D97" s="75"/>
      <c r="E97" s="77"/>
      <c r="F97" s="77"/>
    </row>
    <row r="98" customFormat="false" ht="9.75" hidden="false" customHeight="false" outlineLevel="0" collapsed="false">
      <c r="A98" s="75"/>
      <c r="B98" s="76"/>
      <c r="D98" s="75"/>
      <c r="E98" s="77"/>
      <c r="F98" s="77"/>
    </row>
    <row r="99" customFormat="false" ht="9.75" hidden="false" customHeight="false" outlineLevel="0" collapsed="false">
      <c r="A99" s="75"/>
      <c r="B99" s="76"/>
      <c r="D99" s="75"/>
      <c r="E99" s="77"/>
      <c r="F99" s="77"/>
    </row>
    <row r="100" customFormat="false" ht="9.75" hidden="false" customHeight="false" outlineLevel="0" collapsed="false">
      <c r="A100" s="75"/>
      <c r="B100" s="76"/>
      <c r="D100" s="75"/>
      <c r="E100" s="77"/>
      <c r="F100" s="77"/>
    </row>
    <row r="101" customFormat="false" ht="9.75" hidden="false" customHeight="false" outlineLevel="0" collapsed="false">
      <c r="A101" s="75"/>
      <c r="B101" s="76"/>
      <c r="D101" s="75"/>
      <c r="E101" s="77"/>
      <c r="F101" s="77"/>
    </row>
    <row r="102" customFormat="false" ht="9.75" hidden="false" customHeight="false" outlineLevel="0" collapsed="false">
      <c r="A102" s="75"/>
      <c r="B102" s="76"/>
      <c r="D102" s="75"/>
      <c r="E102" s="77"/>
      <c r="F102" s="77"/>
    </row>
    <row r="103" customFormat="false" ht="9.75" hidden="false" customHeight="false" outlineLevel="0" collapsed="false">
      <c r="A103" s="75"/>
      <c r="B103" s="76"/>
      <c r="D103" s="75"/>
      <c r="E103" s="77"/>
      <c r="F103" s="77"/>
    </row>
    <row r="104" customFormat="false" ht="9.75" hidden="false" customHeight="false" outlineLevel="0" collapsed="false">
      <c r="A104" s="75"/>
      <c r="B104" s="76"/>
      <c r="D104" s="75"/>
      <c r="E104" s="77"/>
      <c r="F104" s="77"/>
    </row>
    <row r="105" customFormat="false" ht="9.75" hidden="false" customHeight="false" outlineLevel="0" collapsed="false">
      <c r="A105" s="75"/>
      <c r="B105" s="76"/>
      <c r="D105" s="75"/>
      <c r="E105" s="77"/>
      <c r="F105" s="77"/>
    </row>
    <row r="106" customFormat="false" ht="9.75" hidden="false" customHeight="false" outlineLevel="0" collapsed="false">
      <c r="A106" s="75"/>
      <c r="B106" s="76"/>
      <c r="D106" s="75"/>
      <c r="E106" s="77"/>
      <c r="F106" s="77"/>
    </row>
    <row r="107" customFormat="false" ht="9.75" hidden="false" customHeight="false" outlineLevel="0" collapsed="false">
      <c r="A107" s="75"/>
      <c r="B107" s="76"/>
      <c r="D107" s="75"/>
      <c r="E107" s="77"/>
      <c r="F107" s="77"/>
    </row>
    <row r="108" customFormat="false" ht="9.75" hidden="false" customHeight="false" outlineLevel="0" collapsed="false">
      <c r="A108" s="75"/>
      <c r="B108" s="76"/>
      <c r="D108" s="75"/>
      <c r="E108" s="77"/>
      <c r="F108" s="77"/>
    </row>
    <row r="109" customFormat="false" ht="9.75" hidden="false" customHeight="false" outlineLevel="0" collapsed="false">
      <c r="A109" s="75"/>
      <c r="B109" s="76"/>
      <c r="D109" s="75"/>
      <c r="E109" s="77"/>
      <c r="F109" s="77"/>
    </row>
    <row r="110" customFormat="false" ht="9.75" hidden="false" customHeight="false" outlineLevel="0" collapsed="false">
      <c r="A110" s="75"/>
      <c r="B110" s="76"/>
      <c r="D110" s="75"/>
      <c r="E110" s="77"/>
      <c r="F110" s="77"/>
    </row>
    <row r="111" customFormat="false" ht="9.75" hidden="false" customHeight="false" outlineLevel="0" collapsed="false">
      <c r="A111" s="75"/>
      <c r="B111" s="76"/>
      <c r="D111" s="75"/>
      <c r="E111" s="77"/>
      <c r="F111" s="77"/>
    </row>
    <row r="112" customFormat="false" ht="9.75" hidden="false" customHeight="false" outlineLevel="0" collapsed="false">
      <c r="A112" s="75"/>
      <c r="B112" s="76"/>
      <c r="D112" s="75"/>
      <c r="E112" s="77"/>
      <c r="F112" s="77"/>
    </row>
    <row r="113" customFormat="false" ht="9.75" hidden="false" customHeight="false" outlineLevel="0" collapsed="false">
      <c r="A113" s="75"/>
      <c r="B113" s="76"/>
      <c r="D113" s="75"/>
      <c r="E113" s="77"/>
      <c r="F113" s="77"/>
    </row>
    <row r="114" customFormat="false" ht="9.75" hidden="false" customHeight="false" outlineLevel="0" collapsed="false">
      <c r="A114" s="75"/>
      <c r="B114" s="76"/>
      <c r="D114" s="75"/>
      <c r="E114" s="77"/>
      <c r="F114" s="77"/>
    </row>
    <row r="115" customFormat="false" ht="9.75" hidden="false" customHeight="false" outlineLevel="0" collapsed="false">
      <c r="A115" s="75"/>
      <c r="B115" s="76"/>
      <c r="D115" s="75"/>
      <c r="E115" s="77"/>
      <c r="F115" s="77"/>
    </row>
    <row r="116" customFormat="false" ht="9.75" hidden="false" customHeight="false" outlineLevel="0" collapsed="false">
      <c r="A116" s="75"/>
      <c r="B116" s="76"/>
      <c r="D116" s="75"/>
      <c r="E116" s="77"/>
      <c r="F116" s="77"/>
    </row>
    <row r="117" customFormat="false" ht="9.75" hidden="false" customHeight="false" outlineLevel="0" collapsed="false">
      <c r="A117" s="75"/>
      <c r="B117" s="76"/>
      <c r="D117" s="75"/>
      <c r="E117" s="77"/>
      <c r="F117" s="77"/>
    </row>
    <row r="118" customFormat="false" ht="9.75" hidden="false" customHeight="false" outlineLevel="0" collapsed="false">
      <c r="A118" s="75"/>
      <c r="B118" s="76"/>
      <c r="D118" s="75"/>
      <c r="E118" s="77"/>
      <c r="F118" s="77"/>
    </row>
    <row r="119" customFormat="false" ht="9.75" hidden="false" customHeight="false" outlineLevel="0" collapsed="false">
      <c r="A119" s="75"/>
      <c r="B119" s="76"/>
      <c r="D119" s="75"/>
      <c r="E119" s="77"/>
      <c r="F119" s="77"/>
    </row>
    <row r="120" customFormat="false" ht="9.75" hidden="false" customHeight="false" outlineLevel="0" collapsed="false">
      <c r="A120" s="75"/>
      <c r="B120" s="76"/>
      <c r="D120" s="75"/>
      <c r="E120" s="77"/>
      <c r="F120" s="77"/>
    </row>
    <row r="121" customFormat="false" ht="9.75" hidden="false" customHeight="false" outlineLevel="0" collapsed="false">
      <c r="A121" s="75"/>
      <c r="B121" s="76"/>
      <c r="D121" s="75"/>
      <c r="E121" s="77"/>
      <c r="F121" s="77"/>
    </row>
    <row r="122" customFormat="false" ht="9.75" hidden="false" customHeight="false" outlineLevel="0" collapsed="false">
      <c r="A122" s="75"/>
      <c r="B122" s="76"/>
      <c r="D122" s="75"/>
      <c r="E122" s="77"/>
      <c r="F122" s="77"/>
    </row>
    <row r="123" customFormat="false" ht="9.75" hidden="false" customHeight="false" outlineLevel="0" collapsed="false">
      <c r="A123" s="75"/>
      <c r="B123" s="76"/>
      <c r="D123" s="75"/>
      <c r="E123" s="77"/>
      <c r="F123" s="77"/>
    </row>
    <row r="124" customFormat="false" ht="9.75" hidden="false" customHeight="false" outlineLevel="0" collapsed="false">
      <c r="A124" s="75"/>
      <c r="B124" s="76"/>
      <c r="D124" s="75"/>
      <c r="E124" s="77"/>
      <c r="F124" s="77"/>
    </row>
    <row r="125" customFormat="false" ht="9.75" hidden="false" customHeight="false" outlineLevel="0" collapsed="false">
      <c r="A125" s="75"/>
      <c r="B125" s="76"/>
      <c r="D125" s="75"/>
      <c r="E125" s="77"/>
      <c r="F125" s="77"/>
    </row>
    <row r="176" customFormat="false" ht="9.75" hidden="false" customHeight="false" outlineLevel="0" collapsed="false">
      <c r="E176" s="77"/>
      <c r="F176" s="77"/>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C13"/>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33" width="9.33"/>
    <col collapsed="false" customWidth="true" hidden="false" outlineLevel="0" max="2" min="2" style="33" width="20.11"/>
    <col collapsed="false" customWidth="true" hidden="false" outlineLevel="0" max="3" min="3" style="33" width="28.88"/>
    <col collapsed="false" customWidth="true" hidden="false" outlineLevel="0" max="4" min="4" style="33" width="5.56"/>
    <col collapsed="false" customWidth="true" hidden="false" outlineLevel="0" max="5" min="5" style="33" width="10.88"/>
  </cols>
  <sheetData>
    <row r="2" customFormat="false" ht="12.75" hidden="false" customHeight="false" outlineLevel="0" collapsed="false">
      <c r="A2" s="15" t="s">
        <v>158</v>
      </c>
    </row>
    <row r="3" customFormat="false" ht="12.75" hidden="false" customHeight="false" outlineLevel="0" collapsed="false">
      <c r="A3" s="78" t="s">
        <v>159</v>
      </c>
      <c r="B3" s="78" t="s">
        <v>160</v>
      </c>
      <c r="C3" s="78" t="s">
        <v>161</v>
      </c>
    </row>
    <row r="4" customFormat="false" ht="12.75" hidden="false" customHeight="false" outlineLevel="0" collapsed="false">
      <c r="A4" s="79" t="n">
        <v>10</v>
      </c>
      <c r="B4" s="80" t="s">
        <v>162</v>
      </c>
      <c r="C4" s="80" t="s">
        <v>163</v>
      </c>
    </row>
    <row r="5" customFormat="false" ht="26.25" hidden="false" customHeight="false" outlineLevel="0" collapsed="false">
      <c r="A5" s="79" t="n">
        <v>20</v>
      </c>
      <c r="B5" s="80" t="s">
        <v>164</v>
      </c>
      <c r="C5" s="80" t="s">
        <v>165</v>
      </c>
    </row>
    <row r="6" customFormat="false" ht="39" hidden="false" customHeight="false" outlineLevel="0" collapsed="false">
      <c r="A6" s="79" t="n">
        <v>30</v>
      </c>
      <c r="B6" s="80" t="s">
        <v>166</v>
      </c>
      <c r="C6" s="80" t="s">
        <v>167</v>
      </c>
    </row>
    <row r="7" customFormat="false" ht="39" hidden="false" customHeight="false" outlineLevel="0" collapsed="false">
      <c r="A7" s="79" t="n">
        <v>40</v>
      </c>
      <c r="B7" s="80" t="s">
        <v>168</v>
      </c>
      <c r="C7" s="80" t="s">
        <v>169</v>
      </c>
    </row>
    <row r="8" customFormat="false" ht="52.5" hidden="false" customHeight="false" outlineLevel="0" collapsed="false">
      <c r="A8" s="79" t="n">
        <v>50</v>
      </c>
      <c r="B8" s="80" t="s">
        <v>170</v>
      </c>
      <c r="C8" s="80" t="s">
        <v>171</v>
      </c>
    </row>
    <row r="9" customFormat="false" ht="26.25" hidden="false" customHeight="false" outlineLevel="0" collapsed="false">
      <c r="A9" s="79" t="n">
        <v>60</v>
      </c>
      <c r="B9" s="80" t="s">
        <v>172</v>
      </c>
      <c r="C9" s="80" t="s">
        <v>173</v>
      </c>
    </row>
    <row r="10" customFormat="false" ht="12.75" hidden="false" customHeight="false" outlineLevel="0" collapsed="false">
      <c r="A10" s="79" t="n">
        <v>70</v>
      </c>
      <c r="B10" s="80" t="s">
        <v>174</v>
      </c>
      <c r="C10" s="80" t="s">
        <v>175</v>
      </c>
    </row>
    <row r="11" customFormat="false" ht="39" hidden="false" customHeight="false" outlineLevel="0" collapsed="false">
      <c r="A11" s="79" t="n">
        <v>80</v>
      </c>
      <c r="B11" s="80" t="s">
        <v>176</v>
      </c>
      <c r="C11" s="80" t="s">
        <v>177</v>
      </c>
    </row>
    <row r="12" customFormat="false" ht="12.75" hidden="false" customHeight="false" outlineLevel="0" collapsed="false">
      <c r="A12" s="79" t="n">
        <v>90</v>
      </c>
      <c r="B12" s="80" t="s">
        <v>178</v>
      </c>
      <c r="C12" s="80" t="s">
        <v>179</v>
      </c>
    </row>
    <row r="13" customFormat="false" ht="39" hidden="false" customHeight="false" outlineLevel="0" collapsed="false">
      <c r="A13" s="79" t="n">
        <v>100</v>
      </c>
      <c r="B13" s="80" t="s">
        <v>180</v>
      </c>
      <c r="C13" s="80" t="s">
        <v>181</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J2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sheetData>
    <row r="3" customFormat="false" ht="12.75" hidden="false" customHeight="false" outlineLevel="0" collapsed="false">
      <c r="A3" s="15"/>
      <c r="J3" s="15"/>
    </row>
    <row r="5" customFormat="false" ht="12.75" hidden="false" customHeight="false" outlineLevel="0" collapsed="false">
      <c r="A5" s="35"/>
      <c r="B5" s="35"/>
    </row>
    <row r="21" customFormat="false" ht="12.75" hidden="false" customHeight="false" outlineLevel="0" collapsed="false">
      <c r="A21" s="15"/>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B5AC67F44DC7C40B8E0D3661CA04747" ma:contentTypeVersion="4" ma:contentTypeDescription="Crear nuevo documento." ma:contentTypeScope="" ma:versionID="ed186a3ce88c97724982080d669efbd2">
  <xsd:schema xmlns:xsd="http://www.w3.org/2001/XMLSchema" xmlns:xs="http://www.w3.org/2001/XMLSchema" xmlns:p="http://schemas.microsoft.com/office/2006/metadata/properties" xmlns:ns2="f8467542-9641-4118-8c9c-e2127316d294" targetNamespace="http://schemas.microsoft.com/office/2006/metadata/properties" ma:root="true" ma:fieldsID="44139d8a2f89323468c8dc53daeba44e" ns2:_="">
    <xsd:import namespace="f8467542-9641-4118-8c9c-e2127316d2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467542-9641-4118-8c9c-e2127316d2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0A6920F-F146-4AEF-9376-02D1C355AA66}"/>
</file>

<file path=customXml/itemProps2.xml><?xml version="1.0" encoding="utf-8"?>
<ds:datastoreItem xmlns:ds="http://schemas.openxmlformats.org/officeDocument/2006/customXml" ds:itemID="{7BD9CF74-3F32-4387-AE24-181E8E53187B}"/>
</file>

<file path=customXml/itemProps3.xml><?xml version="1.0" encoding="utf-8"?>
<ds:datastoreItem xmlns:ds="http://schemas.openxmlformats.org/officeDocument/2006/customXml" ds:itemID="{D90EF2F9-46EA-4A0F-9805-96A3635C06C7}"/>
</file>

<file path=docProps/app.xml><?xml version="1.0" encoding="utf-8"?>
<Properties xmlns="http://schemas.openxmlformats.org/officeDocument/2006/extended-properties" xmlns:vt="http://schemas.openxmlformats.org/officeDocument/2006/docPropsVTypes">
  <Template/>
  <TotalTime>174</TotalTime>
  <Application>LibreOffice/7.6.6.3$Linux_X86_64 LibreOffice_project/60$Build-3</Application>
  <AppVersion>15.0000</AppVersion>
  <Company>Software Engineering Institute</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1997-09-28T23:27:35Z</dcterms:created>
  <dc:creator>Unknown User</dc:creator>
  <dc:description/>
  <dc:language>en-US</dc:language>
  <cp:lastModifiedBy/>
  <cp:lastPrinted>2016-02-09T08:42:26Z</cp:lastPrinted>
  <dcterms:modified xsi:type="dcterms:W3CDTF">2024-04-16T11:49:44Z</dcterms:modified>
  <cp:revision>3</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0x0101003B5AC67F44DC7C40B8E0D3661CA04747</vt:lpwstr>
  </property>
</Properties>
</file>